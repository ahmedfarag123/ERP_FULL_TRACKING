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Work 11-11-2025\HORECA SMART\2026\شهر سبتمير 2026\"/>
    </mc:Choice>
  </mc:AlternateContent>
  <xr:revisionPtr revIDLastSave="0" documentId="13_ncr:1_{808ECA6E-F285-4165-B180-2DE40C52A35B}" xr6:coauthVersionLast="47" xr6:coauthVersionMax="47" xr10:uidLastSave="{00000000-0000-0000-0000-000000000000}"/>
  <bookViews>
    <workbookView xWindow="-120" yWindow="-120" windowWidth="20730" windowHeight="11160" activeTab="3" xr2:uid="{DD3E7782-6675-4D7B-9BAB-AC2DCBC61519}"/>
  </bookViews>
  <sheets>
    <sheet name="28-08" sheetId="1" r:id="rId1"/>
    <sheet name="02-09" sheetId="2" r:id="rId2"/>
    <sheet name="09-09" sheetId="3" r:id="rId3"/>
    <sheet name="16-09" sheetId="4" r:id="rId4"/>
  </sheets>
  <externalReferences>
    <externalReference r:id="rId5"/>
  </externalReferences>
  <definedNames>
    <definedName name="_xlnm._FilterDatabase" localSheetId="1" hidden="1">'02-09'!$A$4:$L$257</definedName>
    <definedName name="_xlnm._FilterDatabase" localSheetId="2" hidden="1">'09-09'!$A$4:$L$233</definedName>
    <definedName name="_xlnm._FilterDatabase" localSheetId="3" hidden="1">'16-09'!$A$4:$L$233</definedName>
    <definedName name="_xlnm._FilterDatabase" localSheetId="0" hidden="1">'28-08'!$A$4:$L$270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5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K4" i="4"/>
  <c r="J4" i="4"/>
  <c r="I4" i="4"/>
  <c r="H4" i="4"/>
  <c r="G4" i="4"/>
  <c r="F4" i="4"/>
  <c r="L4" i="3"/>
  <c r="K4" i="3"/>
  <c r="J4" i="3"/>
  <c r="I4" i="3"/>
  <c r="H4" i="3"/>
  <c r="G4" i="3"/>
  <c r="F4" i="3"/>
  <c r="G4" i="2"/>
  <c r="H4" i="2"/>
  <c r="I4" i="2"/>
  <c r="J4" i="2"/>
  <c r="K4" i="2"/>
  <c r="L4" i="2"/>
  <c r="F4" i="2"/>
  <c r="L4" i="1"/>
  <c r="K4" i="1"/>
  <c r="J4" i="1"/>
  <c r="I4" i="1"/>
  <c r="H4" i="1"/>
  <c r="G4" i="1"/>
  <c r="F4" i="1"/>
  <c r="L4" i="4" l="1"/>
</calcChain>
</file>

<file path=xl/sharedStrings.xml><?xml version="1.0" encoding="utf-8"?>
<sst xmlns="http://schemas.openxmlformats.org/spreadsheetml/2006/main" count="4271" uniqueCount="499">
  <si>
    <t>المتأخر المدين حتى 28-08-2026</t>
  </si>
  <si>
    <t>المتأخر المدين</t>
  </si>
  <si>
    <t>الشركة</t>
  </si>
  <si>
    <t>علامات التصنيف</t>
  </si>
  <si>
    <t>شروط السداد للعميل</t>
  </si>
  <si>
    <t>مندوب المبيعات</t>
  </si>
  <si>
    <t>بتاريخ</t>
  </si>
  <si>
    <t>1-30</t>
  </si>
  <si>
    <t>31-60</t>
  </si>
  <si>
    <t>61-90</t>
  </si>
  <si>
    <t>91-120</t>
  </si>
  <si>
    <t>أقدم</t>
  </si>
  <si>
    <t>الإجمالي</t>
  </si>
  <si>
    <t>خالد حسين (عميل - مورد)</t>
  </si>
  <si>
    <t>عميل - مورد</t>
  </si>
  <si>
    <t>Haddil Haron</t>
  </si>
  <si>
    <t>تسيباس اوول فوود</t>
  </si>
  <si>
    <t>MAS</t>
  </si>
  <si>
    <t>عملاء اجل</t>
  </si>
  <si>
    <t>30 يوماً</t>
  </si>
  <si>
    <t>سدرة - للحلويات</t>
  </si>
  <si>
    <t>15 of month</t>
  </si>
  <si>
    <t>فوالا</t>
  </si>
  <si>
    <t>60 يوم</t>
  </si>
  <si>
    <t>زانوبيا</t>
  </si>
  <si>
    <t>مصنع بريد فاست</t>
  </si>
  <si>
    <t>ايتوال</t>
  </si>
  <si>
    <t>نولا</t>
  </si>
  <si>
    <t>شركة الدهان لادارة المشروعات السياحية</t>
  </si>
  <si>
    <t>10 يوماً</t>
  </si>
  <si>
    <t>سموزى برادايس</t>
  </si>
  <si>
    <t>15 يوماً</t>
  </si>
  <si>
    <t>توينكى</t>
  </si>
  <si>
    <t>متجمد</t>
  </si>
  <si>
    <t>Naden Amgad</t>
  </si>
  <si>
    <t>شركة وهمى</t>
  </si>
  <si>
    <t>ناديةمحمد عبد الغنى ابو طالب</t>
  </si>
  <si>
    <t xml:space="preserve">عملاء كاش </t>
  </si>
  <si>
    <t xml:space="preserve">الدفع الفوري </t>
  </si>
  <si>
    <t>AbdElrhaman Farrag</t>
  </si>
  <si>
    <t>جيت للتجارة والتوزيع JET- الاقاليم</t>
  </si>
  <si>
    <t>Amgad Ahmed</t>
  </si>
  <si>
    <t>شركة الرواد لتوريد المواد الغذائية</t>
  </si>
  <si>
    <t>ماتانا للمنتجات الغذائية</t>
  </si>
  <si>
    <t>طبالي</t>
  </si>
  <si>
    <t>مصنع الرياده عطيه أمام</t>
  </si>
  <si>
    <t>Horeca Smart</t>
  </si>
  <si>
    <t xml:space="preserve">10 أيام بعد نهاية الشهر التالي </t>
  </si>
  <si>
    <t>Donia Khaled</t>
  </si>
  <si>
    <t>بابا جونز(فانتدج ايجيبت)</t>
  </si>
  <si>
    <t>حلواني بالمي</t>
  </si>
  <si>
    <t>Mona Mohamed</t>
  </si>
  <si>
    <t>مطعم مايند دن</t>
  </si>
  <si>
    <t>Horeca Hub</t>
  </si>
  <si>
    <t>عم شلتت للمخبوزات</t>
  </si>
  <si>
    <t>بلبن</t>
  </si>
  <si>
    <t>Chicken Balalm</t>
  </si>
  <si>
    <t>ميسو</t>
  </si>
  <si>
    <t>Abela</t>
  </si>
  <si>
    <t>Simonds Bakery</t>
  </si>
  <si>
    <t>حلواني بيست سويت</t>
  </si>
  <si>
    <t>مونجينى</t>
  </si>
  <si>
    <t>كبدة الفلاح - الالف مصنع</t>
  </si>
  <si>
    <t>السويفى ( عميل ومورد )</t>
  </si>
  <si>
    <t>لينورا للحلويات والمخبوزات</t>
  </si>
  <si>
    <t>شركة جيت</t>
  </si>
  <si>
    <t>بهيج</t>
  </si>
  <si>
    <t>احمد يوسف ( عميل و مورد )</t>
  </si>
  <si>
    <t>5 Days</t>
  </si>
  <si>
    <t>Burger Republic</t>
  </si>
  <si>
    <t>حلواني العبد</t>
  </si>
  <si>
    <t>فرست كلاس</t>
  </si>
  <si>
    <t>ساليه سوكريه</t>
  </si>
  <si>
    <t>ريفولى</t>
  </si>
  <si>
    <t>رويال جروب</t>
  </si>
  <si>
    <t>شركة أنفستمينت جيت للصناعات الغذائية</t>
  </si>
  <si>
    <t>شركة تارجت للمواد الغذائية</t>
  </si>
  <si>
    <t>مصر لمستلزمات المخابز</t>
  </si>
  <si>
    <t>اما سوشي</t>
  </si>
  <si>
    <t>Reham Maher</t>
  </si>
  <si>
    <t>شركة عزايم للصناعات الغذائية (ديوكس)</t>
  </si>
  <si>
    <t>مستشفي وادي النيل</t>
  </si>
  <si>
    <t>Brunch and Cake</t>
  </si>
  <si>
    <t>هريدى للتوريدات (عميل - مورد)</t>
  </si>
  <si>
    <t>khf for food industries</t>
  </si>
  <si>
    <t>شركة شرق الدلتا لادارة المطاعم</t>
  </si>
  <si>
    <t>شركة كلاودز ايجيبت</t>
  </si>
  <si>
    <t>ماجيستي</t>
  </si>
  <si>
    <t>شركة المدينة للتوريدات ( عميل - مورد )</t>
  </si>
  <si>
    <t>محمد عيد توريدات</t>
  </si>
  <si>
    <t>Butlers &amp; Co Catering</t>
  </si>
  <si>
    <t>مبيعات موظفين</t>
  </si>
  <si>
    <t>موظفين</t>
  </si>
  <si>
    <t>Kyoto Sushi</t>
  </si>
  <si>
    <t>شركة اوشن</t>
  </si>
  <si>
    <t>أبومحرم للحلويات</t>
  </si>
  <si>
    <t>Heart Attack</t>
  </si>
  <si>
    <t>PAO</t>
  </si>
  <si>
    <t>45 يوماً</t>
  </si>
  <si>
    <t>شركه مكة - بيتزا ستاف</t>
  </si>
  <si>
    <t>عبد ربه</t>
  </si>
  <si>
    <t>مطعم القنبلة</t>
  </si>
  <si>
    <t>الفتح - العبور</t>
  </si>
  <si>
    <t>TBS</t>
  </si>
  <si>
    <t>توريقه</t>
  </si>
  <si>
    <t>حلواني طيبه</t>
  </si>
  <si>
    <t>فندق مارشاربل</t>
  </si>
  <si>
    <t>اوز لإدارة المطاعم</t>
  </si>
  <si>
    <t>Meansun</t>
  </si>
  <si>
    <t>شركة جراند لتعبئة وتجارة المواد الغذائية</t>
  </si>
  <si>
    <t>Hashvill</t>
  </si>
  <si>
    <t>ماندرين قويدر</t>
  </si>
  <si>
    <t>ضياء حسن الراشدين</t>
  </si>
  <si>
    <t>شركة ثرتي نورث</t>
  </si>
  <si>
    <t>مطعم فالنسيا</t>
  </si>
  <si>
    <t>مصنع كانيلي</t>
  </si>
  <si>
    <t>مبيعات نقدي</t>
  </si>
  <si>
    <t>جمعية محبي الزكاة</t>
  </si>
  <si>
    <t>كشري ابوطارق</t>
  </si>
  <si>
    <t>شركة الفريدة للحلويات</t>
  </si>
  <si>
    <t>مؤسسة مصر التجارية</t>
  </si>
  <si>
    <t>الصادق للتوريدات</t>
  </si>
  <si>
    <t>Sushi Gate</t>
  </si>
  <si>
    <t>كوبر ميلت للاغذية</t>
  </si>
  <si>
    <t>سميحه</t>
  </si>
  <si>
    <t>كافيه ومطعم ركشا</t>
  </si>
  <si>
    <t>21 يوماً</t>
  </si>
  <si>
    <t>Lames Magdy</t>
  </si>
  <si>
    <t>شركه المحلاوي</t>
  </si>
  <si>
    <t>هوست ان لادارة المطاعم والفنادق</t>
  </si>
  <si>
    <t>8back Burgers</t>
  </si>
  <si>
    <t>Three Dinner - Chefs Studio</t>
  </si>
  <si>
    <t>هانى - فريدام</t>
  </si>
  <si>
    <t>شركة اسينا للمقاولات</t>
  </si>
  <si>
    <t>Mahmoud Khalil</t>
  </si>
  <si>
    <t>3K مصنع</t>
  </si>
  <si>
    <t>طلبية (عميل - مورد)</t>
  </si>
  <si>
    <t>بيتزا بريموس</t>
  </si>
  <si>
    <t>Silk Road-Doking</t>
  </si>
  <si>
    <t>تبرعات</t>
  </si>
  <si>
    <t>اونستار للتجارة والتوريدات</t>
  </si>
  <si>
    <t>Swevem</t>
  </si>
  <si>
    <t>Hager Ahmed</t>
  </si>
  <si>
    <t>FB Cook</t>
  </si>
  <si>
    <t>Maqha</t>
  </si>
  <si>
    <t>ماس ديستربيوشن (عميل - مورد)</t>
  </si>
  <si>
    <t>مطعم ابو بكر السوري</t>
  </si>
  <si>
    <t>لايف سناكس للتصنيع</t>
  </si>
  <si>
    <t>لاكورفا للتوريدات العمومية</t>
  </si>
  <si>
    <t>kB’S</t>
  </si>
  <si>
    <t>Administrator</t>
  </si>
  <si>
    <t>KANA Cafe&amp;Restaurant</t>
  </si>
  <si>
    <t>الصمدى</t>
  </si>
  <si>
    <t>Bu Hub</t>
  </si>
  <si>
    <t>Ivory Coffee</t>
  </si>
  <si>
    <t>Marinette French Bakery</t>
  </si>
  <si>
    <t>Allora Cafe</t>
  </si>
  <si>
    <t>مطعم الراعي</t>
  </si>
  <si>
    <t>شركة توريدات الهدايا</t>
  </si>
  <si>
    <t>mezoo</t>
  </si>
  <si>
    <t>سي مرجان</t>
  </si>
  <si>
    <t>فايف سويتس</t>
  </si>
  <si>
    <t>بيت ولاد رزق</t>
  </si>
  <si>
    <t>بيكينج فودز للصنعات</t>
  </si>
  <si>
    <t>مطعم لافندر</t>
  </si>
  <si>
    <t>فطار وعشا</t>
  </si>
  <si>
    <t>cavallo</t>
  </si>
  <si>
    <t>كافيه هدوء</t>
  </si>
  <si>
    <t>Swirkies</t>
  </si>
  <si>
    <t>مطعم البركة - روض الفرج</t>
  </si>
  <si>
    <t>شارمينار للمؤكولات الهندية</t>
  </si>
  <si>
    <t>تشيكن كرسىي هين</t>
  </si>
  <si>
    <t>دهب دمشقي</t>
  </si>
  <si>
    <t>رغيف شاورما</t>
  </si>
  <si>
    <t>30 يوم</t>
  </si>
  <si>
    <t>Motche do Cafe</t>
  </si>
  <si>
    <t>كافيه ومطعم خان شاهين</t>
  </si>
  <si>
    <t>Be In Coffee</t>
  </si>
  <si>
    <t>Fam Bites</t>
  </si>
  <si>
    <t>Bar Store</t>
  </si>
  <si>
    <t>شركة نيفرديري</t>
  </si>
  <si>
    <t>Shorouk khaled</t>
  </si>
  <si>
    <t>فينيكس للتجارة ش ذ</t>
  </si>
  <si>
    <t>Secret Society Burger</t>
  </si>
  <si>
    <t>Dash cafe&amp;Restaurant</t>
  </si>
  <si>
    <t>Crush Bunz</t>
  </si>
  <si>
    <t>Loaded</t>
  </si>
  <si>
    <t>دوار ام حسن - المهندسين</t>
  </si>
  <si>
    <t>الانفوشي</t>
  </si>
  <si>
    <t>مطعم موبيسترو</t>
  </si>
  <si>
    <t>Between the Buns</t>
  </si>
  <si>
    <t>مخبز كاندي</t>
  </si>
  <si>
    <t>Treats Cafe</t>
  </si>
  <si>
    <t>مشارق للتوريدات</t>
  </si>
  <si>
    <t>مخبز نصير</t>
  </si>
  <si>
    <t>Tavolini Cafe</t>
  </si>
  <si>
    <t>L'CASA</t>
  </si>
  <si>
    <t>دار الدفاع الجوي</t>
  </si>
  <si>
    <t>كافيه راديو</t>
  </si>
  <si>
    <t>شركة الصفا ( اولاد عبد المقصود )</t>
  </si>
  <si>
    <t>بيتزا سبايسي</t>
  </si>
  <si>
    <t>كافيه ومطعم ستيم</t>
  </si>
  <si>
    <t>COUNTRY HILLS</t>
  </si>
  <si>
    <t>شاي علي قهوة</t>
  </si>
  <si>
    <t>yukl</t>
  </si>
  <si>
    <t>Dark Solutions Company</t>
  </si>
  <si>
    <t>مطعم سنفرو</t>
  </si>
  <si>
    <t>وتيني</t>
  </si>
  <si>
    <t>شركة ديلايت للصناعات الغذائية ش ذ م م</t>
  </si>
  <si>
    <t>محاشى هب</t>
  </si>
  <si>
    <t>امداد برو</t>
  </si>
  <si>
    <t>احمد حلمى (عميل - مورد)</t>
  </si>
  <si>
    <t>كافيه ليالي</t>
  </si>
  <si>
    <t>مطعم شبراوي</t>
  </si>
  <si>
    <t>Mini Desserts</t>
  </si>
  <si>
    <t>كافيه ومطعم  حواري كايرو</t>
  </si>
  <si>
    <t>Kneaded Pizza</t>
  </si>
  <si>
    <t>Art Of Dining</t>
  </si>
  <si>
    <t>مطعم هيبو للمأكولات الصينية</t>
  </si>
  <si>
    <t>الليوان</t>
  </si>
  <si>
    <t>مارينجو</t>
  </si>
  <si>
    <t>كرياتف بان لادارة المطاعم</t>
  </si>
  <si>
    <t>Bel Gelato italiano</t>
  </si>
  <si>
    <t>كافيه ومطعم فلير</t>
  </si>
  <si>
    <t>التيسير</t>
  </si>
  <si>
    <t>بيتزا المدملك</t>
  </si>
  <si>
    <t>فويا</t>
  </si>
  <si>
    <t>الرواد</t>
  </si>
  <si>
    <t>Bean N’Bun Marv</t>
  </si>
  <si>
    <t>Daily Sips Coffee</t>
  </si>
  <si>
    <t>سمارت جيم</t>
  </si>
  <si>
    <t>Pizza Master</t>
  </si>
  <si>
    <t>Barista cafe</t>
  </si>
  <si>
    <t>Green Island</t>
  </si>
  <si>
    <t>Toki Rstaurant Asian food</t>
  </si>
  <si>
    <t>Studio 98 Hospitality</t>
  </si>
  <si>
    <t>سعيد الصعيدى</t>
  </si>
  <si>
    <t>Strip</t>
  </si>
  <si>
    <t>مطعم مندينا</t>
  </si>
  <si>
    <t>سمكة</t>
  </si>
  <si>
    <t>مطعم اينوتشى</t>
  </si>
  <si>
    <t>Citavo Cafe</t>
  </si>
  <si>
    <t>Yaya</t>
  </si>
  <si>
    <t>شركة الهادي للتوريدات</t>
  </si>
  <si>
    <t>شركة A.R.M</t>
  </si>
  <si>
    <t>كافيه ومطعم المغترب</t>
  </si>
  <si>
    <t>Lamuda</t>
  </si>
  <si>
    <t>كافيه ومطعم موزايك</t>
  </si>
  <si>
    <t>نود بيكرى - الف مصنع</t>
  </si>
  <si>
    <t>Sokyo Restaurant</t>
  </si>
  <si>
    <t>الصعيدى " سنا فودز "</t>
  </si>
  <si>
    <t>كافيه ومطعم ميوش</t>
  </si>
  <si>
    <t>صوفيا هاني للصناعات الغذائية</t>
  </si>
  <si>
    <t>Moo</t>
  </si>
  <si>
    <t>مرهت</t>
  </si>
  <si>
    <t>أكلة حكاية</t>
  </si>
  <si>
    <t>مطعم البركة</t>
  </si>
  <si>
    <t>Mixo Juice</t>
  </si>
  <si>
    <t>الباجوري (عميل - مورد)</t>
  </si>
  <si>
    <t>Waffly's restaurant</t>
  </si>
  <si>
    <t>Specialty coffee</t>
  </si>
  <si>
    <t>مطعم روستو -فيصل</t>
  </si>
  <si>
    <t>شركة جلويا</t>
  </si>
  <si>
    <t>كافيه ومطعم كرافت-زايد</t>
  </si>
  <si>
    <t>دووزى</t>
  </si>
  <si>
    <t>Movenpick Cafe</t>
  </si>
  <si>
    <t>Bja company</t>
  </si>
  <si>
    <t>مصنع ميجا</t>
  </si>
  <si>
    <t>velvet</t>
  </si>
  <si>
    <t>لفة معلم</t>
  </si>
  <si>
    <t>Opith Cafe</t>
  </si>
  <si>
    <t>عصائر سيتي درينك -عباس العقاد</t>
  </si>
  <si>
    <t>شركة وان اوك كاترينج</t>
  </si>
  <si>
    <t>ادوومي فودز</t>
  </si>
  <si>
    <t>Coxswains Marketing</t>
  </si>
  <si>
    <t>مطعم تشيكسي</t>
  </si>
  <si>
    <t>مطعم و كافية خمسينة</t>
  </si>
  <si>
    <t>سمارت فودز (عميل - مورد)</t>
  </si>
  <si>
    <t>Master Burger</t>
  </si>
  <si>
    <t>مطعم ويستروس</t>
  </si>
  <si>
    <t>درينك اولاد حجازي</t>
  </si>
  <si>
    <t>Bomba</t>
  </si>
  <si>
    <t>Dess-Tiny</t>
  </si>
  <si>
    <t>كرسبي</t>
  </si>
  <si>
    <t>بيتزا مخبوز  - المخزن</t>
  </si>
  <si>
    <t>بيتزا بريك</t>
  </si>
  <si>
    <t>كافيه هليوبوليس</t>
  </si>
  <si>
    <t>شيما سوشي</t>
  </si>
  <si>
    <t>Duchess</t>
  </si>
  <si>
    <t>Varanda - مدينة نصر</t>
  </si>
  <si>
    <t>كافيه كاتورا</t>
  </si>
  <si>
    <t>le3ba cafe</t>
  </si>
  <si>
    <t>Bean An Bun</t>
  </si>
  <si>
    <t>توجيزر لتصنيع الحلويات والمخابز</t>
  </si>
  <si>
    <t>مايلز تريد</t>
  </si>
  <si>
    <t>كوفي هاوس</t>
  </si>
  <si>
    <t>حلواني الشيبي</t>
  </si>
  <si>
    <t>كامب شيزار</t>
  </si>
  <si>
    <t>ريزنج ستار (sushi&amp;co)</t>
  </si>
  <si>
    <t>مطعم مذاق الشام</t>
  </si>
  <si>
    <t>Hassan Restaurant</t>
  </si>
  <si>
    <t>دانكن دوناتس</t>
  </si>
  <si>
    <t>جرو برو لادارة المطاعم</t>
  </si>
  <si>
    <t>مى تو للتوريدات</t>
  </si>
  <si>
    <t>أوز سيلار-OS CELLAR</t>
  </si>
  <si>
    <t>15 يوم بعد شهر التوريد</t>
  </si>
  <si>
    <t>عيد (عميل - مورد)</t>
  </si>
  <si>
    <t>أبيلا قطر النوم</t>
  </si>
  <si>
    <t>المتأخر المدين حتى 02-09-2026</t>
  </si>
  <si>
    <t>Abo Heiba Coffee</t>
  </si>
  <si>
    <t>CUPRESSO</t>
  </si>
  <si>
    <t>Food Concepts</t>
  </si>
  <si>
    <t>KAFE !N</t>
  </si>
  <si>
    <t>Kokio chicken</t>
  </si>
  <si>
    <t>Rubybeans</t>
  </si>
  <si>
    <t>Smash Man</t>
  </si>
  <si>
    <t>Smash n’ Krisp</t>
  </si>
  <si>
    <t>Yuki sushi</t>
  </si>
  <si>
    <t>the 9-التجمع الثالث</t>
  </si>
  <si>
    <t>اب تاون</t>
  </si>
  <si>
    <t>استارت تراك للتوريدات</t>
  </si>
  <si>
    <t>تشارلي - Charly</t>
  </si>
  <si>
    <t>جيت للتجارة والتوزيع JET</t>
  </si>
  <si>
    <t>حلواني ديسباسيتو</t>
  </si>
  <si>
    <t>ديليزا جيلاتو</t>
  </si>
  <si>
    <t>شركة أكل بيتي للأغذية والمشروبات</t>
  </si>
  <si>
    <t>كافيه لو</t>
  </si>
  <si>
    <t>كافيه ومطعم ستيم -نادي بلاتينيوم</t>
  </si>
  <si>
    <t>مطعم بيلز بيلى</t>
  </si>
  <si>
    <t>نيني كيتشن</t>
  </si>
  <si>
    <t>ويز اند كو</t>
  </si>
  <si>
    <t>Dazzle</t>
  </si>
  <si>
    <t>Emkay Foods</t>
  </si>
  <si>
    <t>Grounds Bakery</t>
  </si>
  <si>
    <t>La farine boutique ( لافرين بوتيك )</t>
  </si>
  <si>
    <t>LiteBite</t>
  </si>
  <si>
    <t>O'Mama Burger House</t>
  </si>
  <si>
    <t>PAVONE</t>
  </si>
  <si>
    <t>Sphinx Smash Burger</t>
  </si>
  <si>
    <t>Tata Batata</t>
  </si>
  <si>
    <t>VINE Restaurant&amp;Cafe</t>
  </si>
  <si>
    <t>sweet lu</t>
  </si>
  <si>
    <t>taka sushi</t>
  </si>
  <si>
    <t>الكونتننتال للخدمات التعليمية</t>
  </si>
  <si>
    <t>ايليت شاركس للتجارة</t>
  </si>
  <si>
    <t>بيتزا الامين</t>
  </si>
  <si>
    <t>بيتزا الدفراوي</t>
  </si>
  <si>
    <t>تشيرز</t>
  </si>
  <si>
    <t>جيت -محافظة الشرقية</t>
  </si>
  <si>
    <t>جيت نيو كايرو للتجارة والتوزيع</t>
  </si>
  <si>
    <t>دايت هب</t>
  </si>
  <si>
    <t>دنيا الجمبري</t>
  </si>
  <si>
    <t>شوكليت (أحمد شوقي)</t>
  </si>
  <si>
    <t>شيف اون دور</t>
  </si>
  <si>
    <t>قهوة شاكر</t>
  </si>
  <si>
    <t>كافيه تالنت</t>
  </si>
  <si>
    <t>كافيه سيدني</t>
  </si>
  <si>
    <t>لورد</t>
  </si>
  <si>
    <t>مطعم بحر-الشروق</t>
  </si>
  <si>
    <t>مطعم ستوريا</t>
  </si>
  <si>
    <t>مطعم مشاكيك</t>
  </si>
  <si>
    <t>هولي جواك</t>
  </si>
  <si>
    <t>EL PATIO ORO</t>
  </si>
  <si>
    <t>مستر بيتزا</t>
  </si>
  <si>
    <t>المتأخر المدين حتى 09-09-2026</t>
  </si>
  <si>
    <t>مدرسة دوفر</t>
  </si>
  <si>
    <t>شاورمر</t>
  </si>
  <si>
    <t>حلواني creme</t>
  </si>
  <si>
    <t>المتأخر المدين حتى 16-09-2026</t>
  </si>
  <si>
    <t>جويا سوشي - المخزن</t>
  </si>
  <si>
    <t>شركة رويال</t>
  </si>
  <si>
    <t>سكاي سيتي</t>
  </si>
  <si>
    <t>DOLCIMA DONUTS</t>
  </si>
  <si>
    <t>مطعم مدلل الشام</t>
  </si>
  <si>
    <t>موتشو</t>
  </si>
  <si>
    <t>مصنع فود بيزنس جيت</t>
  </si>
  <si>
    <t>Tinto</t>
  </si>
  <si>
    <t>بن فايز صبيح</t>
  </si>
  <si>
    <t>Charminar Era</t>
  </si>
  <si>
    <t>Varanda</t>
  </si>
  <si>
    <t>wisk&amp;fluf</t>
  </si>
  <si>
    <t>مركز صيانة المتحدة السلام</t>
  </si>
  <si>
    <t>The Best Supplies</t>
  </si>
  <si>
    <t>Motor sprots HUB</t>
  </si>
  <si>
    <t>ألميرا</t>
  </si>
  <si>
    <t>الهادي نيو لتوريد المواد الغذائية</t>
  </si>
  <si>
    <t>3BOYS Supplies Company</t>
  </si>
  <si>
    <t>Rivo Cafe - العبور</t>
  </si>
  <si>
    <t>Big Boy Restaurant</t>
  </si>
  <si>
    <t>Mountain cafe</t>
  </si>
  <si>
    <t>BRB Coffee</t>
  </si>
  <si>
    <t>نووك نووك تشويز</t>
  </si>
  <si>
    <t>Princess Cafe</t>
  </si>
  <si>
    <t>مطعم الجعان</t>
  </si>
  <si>
    <t>المؤسسة الدولية للتوريدات</t>
  </si>
  <si>
    <t>Ice coffee</t>
  </si>
  <si>
    <t>كاليستو</t>
  </si>
  <si>
    <t>اي سي او لتجارة المواد الغذائية</t>
  </si>
  <si>
    <t>Lavania</t>
  </si>
  <si>
    <t>Delicieuse</t>
  </si>
  <si>
    <t>ليفن</t>
  </si>
  <si>
    <t>سوشي سبوت</t>
  </si>
  <si>
    <t>هجر للصناعات الغذائية</t>
  </si>
  <si>
    <t>هاف مليون</t>
  </si>
  <si>
    <t>نيو المهندس</t>
  </si>
  <si>
    <t>ميلانو</t>
  </si>
  <si>
    <t>مطعم مربوعة</t>
  </si>
  <si>
    <t>مطعم كشريتو</t>
  </si>
  <si>
    <t>مطعم دينا كانتينا</t>
  </si>
  <si>
    <t>مطعم دخنة</t>
  </si>
  <si>
    <t>مطعم العوده</t>
  </si>
  <si>
    <t>مطعم اكاكوس</t>
  </si>
  <si>
    <t>مطبخ الاطلالة</t>
  </si>
  <si>
    <t>مدرسه كونكورديا</t>
  </si>
  <si>
    <t>ماد سوشي</t>
  </si>
  <si>
    <t>ليدام</t>
  </si>
  <si>
    <t>لايت بايت</t>
  </si>
  <si>
    <t>كومون جراوند لإدارة المشروعات</t>
  </si>
  <si>
    <t>كريب المزاريطه</t>
  </si>
  <si>
    <t>كاليبسو كافيه</t>
  </si>
  <si>
    <t>كافيه ومطعم جومارو</t>
  </si>
  <si>
    <t>كافيه جولدن فايبس</t>
  </si>
  <si>
    <t>كافيه بيانكي</t>
  </si>
  <si>
    <t>كافيه بوشية</t>
  </si>
  <si>
    <t>عم كبده</t>
  </si>
  <si>
    <t>عالم الجمبري</t>
  </si>
  <si>
    <t>صاج السمك</t>
  </si>
  <si>
    <t>شركة سافي للتوريدات</t>
  </si>
  <si>
    <t>شركة الفهد للتجارة والتوزيع</t>
  </si>
  <si>
    <t>سيلكت للخدمات التسويقيه توريدات</t>
  </si>
  <si>
    <t>سي بابا</t>
  </si>
  <si>
    <t>سوبر بيتزا</t>
  </si>
  <si>
    <t>دار لالة للصناعات الغذائية</t>
  </si>
  <si>
    <t>دار البنك الاهلي المصري</t>
  </si>
  <si>
    <t>خليه وكرك</t>
  </si>
  <si>
    <t>تورينو</t>
  </si>
  <si>
    <t>تشنكيز</t>
  </si>
  <si>
    <t>الرحمة للتوريدات</t>
  </si>
  <si>
    <t>The Chocolate</t>
  </si>
  <si>
    <t>Suss Restaurant</t>
  </si>
  <si>
    <t>Sor</t>
  </si>
  <si>
    <t>Six burgers</t>
  </si>
  <si>
    <t>Signature Chef</t>
  </si>
  <si>
    <t>Shots</t>
  </si>
  <si>
    <t>Santa lounge</t>
  </si>
  <si>
    <t>Ryce</t>
  </si>
  <si>
    <t>Rio, Rio's Pizza</t>
  </si>
  <si>
    <t>Pizza Pieco</t>
  </si>
  <si>
    <t>Pastini Cafe</t>
  </si>
  <si>
    <t>Panda&amp;walk Restaurant</t>
  </si>
  <si>
    <t>Pancake</t>
  </si>
  <si>
    <t>On Fire Burger</t>
  </si>
  <si>
    <t>Mondish</t>
  </si>
  <si>
    <t>Mokito</t>
  </si>
  <si>
    <t>KOK CAFE</t>
  </si>
  <si>
    <t>Khayal - خيال</t>
  </si>
  <si>
    <t>kak fried chicken</t>
  </si>
  <si>
    <t>Isabell Sushi</t>
  </si>
  <si>
    <t>Food Fetch &amp; Co. Restaurants</t>
  </si>
  <si>
    <t>EDDY'S Bakery</t>
  </si>
  <si>
    <t>D.Cappuccino</t>
  </si>
  <si>
    <t>Bubbles Cafe</t>
  </si>
  <si>
    <t>Bambo</t>
  </si>
  <si>
    <t>AZ Black</t>
  </si>
  <si>
    <t>Antica Cafe</t>
  </si>
  <si>
    <t>Nounette</t>
  </si>
  <si>
    <t>Tinto, Tinto-مصر الجديدة</t>
  </si>
  <si>
    <t>Sizzle Chicken fried</t>
  </si>
  <si>
    <t>Next cup</t>
  </si>
  <si>
    <t>Lucky Shot</t>
  </si>
  <si>
    <t>بلو بيرد</t>
  </si>
  <si>
    <t>عبير الاوركيد</t>
  </si>
  <si>
    <t>شركة انفينتى تك للحلول التكنولوجية</t>
  </si>
  <si>
    <t>Perla</t>
  </si>
  <si>
    <t>Nalu Lebanese Restaurant</t>
  </si>
  <si>
    <t>Crunch Sushi</t>
  </si>
  <si>
    <t>SAIN</t>
  </si>
  <si>
    <t>yellow mart Cafe</t>
  </si>
  <si>
    <t>سفرانو</t>
  </si>
  <si>
    <t>Conitta</t>
  </si>
  <si>
    <t>EMA facilities managment</t>
  </si>
  <si>
    <t>Mega bites</t>
  </si>
  <si>
    <t>A+ Working Space</t>
  </si>
  <si>
    <t>B karnak School (National-American)</t>
  </si>
  <si>
    <t>لاجولي</t>
  </si>
  <si>
    <t>RED CLUCK</t>
  </si>
  <si>
    <t>كانتين مدرسه الاورمان</t>
  </si>
  <si>
    <t>كنيسة السيدة مريم العذراء و مارجرجس</t>
  </si>
  <si>
    <t>Seven sushi Bar</t>
  </si>
  <si>
    <t>Na2Na2</t>
  </si>
  <si>
    <t>كافيه كاريزما</t>
  </si>
  <si>
    <t>pizza mozza</t>
  </si>
  <si>
    <t>مطعم زيكو</t>
  </si>
  <si>
    <t>كافيه أبو كيف</t>
  </si>
  <si>
    <t>كوفي ايلاند</t>
  </si>
  <si>
    <t>Quick pick</t>
  </si>
  <si>
    <t>Korean Restaurant</t>
  </si>
  <si>
    <t>كافيه ميوز</t>
  </si>
  <si>
    <t>فطير بابا مزارع ماما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</si>
</sst>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666666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3" fillId="0" borderId="0" xfId="1" applyFont="1" applyAlignment="1">
      <alignment horizontal="center"/>
    </xf>
    <xf numFmtId="43" fontId="4" fillId="4" borderId="4" xfId="1" applyFont="1" applyFill="1" applyBorder="1" applyAlignment="1">
      <alignment horizontal="center"/>
    </xf>
    <xf numFmtId="43" fontId="4" fillId="0" borderId="4" xfId="1" applyFont="1" applyBorder="1" applyAlignment="1">
      <alignment horizontal="center"/>
    </xf>
    <xf numFmtId="43" fontId="5" fillId="0" borderId="0" xfId="1" applyFont="1" applyAlignment="1">
      <alignment horizontal="center"/>
    </xf>
    <xf numFmtId="43" fontId="4" fillId="5" borderId="4" xfId="1" applyFont="1" applyFill="1" applyBorder="1" applyAlignment="1">
      <alignment horizontal="center"/>
    </xf>
    <xf numFmtId="43" fontId="6" fillId="5" borderId="4" xfId="1" applyFont="1" applyFill="1" applyBorder="1" applyAlignment="1">
      <alignment horizontal="center"/>
    </xf>
    <xf numFmtId="43" fontId="4" fillId="0" borderId="0" xfId="1" applyFont="1" applyAlignment="1">
      <alignment horizontal="center"/>
    </xf>
    <xf numFmtId="43" fontId="5" fillId="0" borderId="4" xfId="1" applyFont="1" applyBorder="1" applyAlignment="1">
      <alignment horizontal="center"/>
    </xf>
    <xf numFmtId="43" fontId="4" fillId="5" borderId="0" xfId="1" applyFont="1" applyFill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 wrapText="1"/>
    </xf>
    <xf numFmtId="43" fontId="4" fillId="3" borderId="6" xfId="1" applyFont="1" applyFill="1" applyBorder="1" applyAlignment="1">
      <alignment horizontal="center" vertical="center" wrapText="1"/>
    </xf>
    <xf numFmtId="43" fontId="4" fillId="3" borderId="4" xfId="1" applyFont="1" applyFill="1" applyBorder="1" applyAlignment="1">
      <alignment horizontal="center" vertical="center" wrapText="1"/>
    </xf>
    <xf numFmtId="43" fontId="7" fillId="0" borderId="0" xfId="1" applyFont="1" applyAlignment="1">
      <alignment horizontal="center"/>
    </xf>
    <xf numFmtId="43" fontId="7" fillId="0" borderId="0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Work%2011-11-2025\HORECA%20SMART\2026\&#1578;&#1589;&#1606;&#1610;&#1601;%20&#1575;&#1604;&#1593;&#1605;&#1604;&#1575;&#1569;%20&#1581;&#1587;&#1576;%20&#1575;&#1604;&#1605;&#1606;&#1575;&#1583;&#1610;&#1576;.xlsx" TargetMode="External"/><Relationship Id="rId1" Type="http://schemas.openxmlformats.org/officeDocument/2006/relationships/externalLinkPath" Target="/My%20Work%2011-11-2025/HORECA%20SMART/2026/&#1578;&#1589;&#1606;&#1610;&#1601;%20&#1575;&#1604;&#1593;&#1605;&#1604;&#1575;&#1569;%20&#1581;&#1587;&#1576;%20&#1575;&#1604;&#1605;&#1606;&#1575;&#1583;&#1610;&#15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"/>
      <sheetName val="تحديث العملاء"/>
    </sheetNames>
    <sheetDataSet>
      <sheetData sheetId="0"/>
      <sheetData sheetId="1"/>
      <sheetData sheetId="2">
        <row r="1">
          <cell r="A1" t="str">
            <v>الاسم الكامل</v>
          </cell>
          <cell r="B1" t="str">
            <v>الشركة</v>
          </cell>
          <cell r="C1" t="str">
            <v>علامات التصنيف</v>
          </cell>
          <cell r="D1" t="str">
            <v>مندوب المبيعات</v>
          </cell>
        </row>
        <row r="2">
          <cell r="A2" t="str">
            <v>شركة الدهان لادارة المشروعات السياحية</v>
          </cell>
          <cell r="B2" t="str">
            <v>MAS</v>
          </cell>
          <cell r="C2" t="str">
            <v>عملاء اجل</v>
          </cell>
          <cell r="D2" t="str">
            <v>Haddil Haron</v>
          </cell>
        </row>
        <row r="3">
          <cell r="A3" t="str">
            <v>VINE Restaurant&amp;Cafe</v>
          </cell>
          <cell r="B3" t="str">
            <v>Horeca Smart</v>
          </cell>
          <cell r="C3" t="str">
            <v xml:space="preserve">عملاء كاش </v>
          </cell>
          <cell r="D3" t="str">
            <v>Lames Magdy</v>
          </cell>
        </row>
        <row r="4">
          <cell r="A4" t="str">
            <v>مطعم هيبو للمأكولات الصينية</v>
          </cell>
          <cell r="B4" t="str">
            <v>Horeca Smart</v>
          </cell>
          <cell r="C4" t="str">
            <v xml:space="preserve">عملاء كاش </v>
          </cell>
          <cell r="D4" t="str">
            <v>Donia Khaled</v>
          </cell>
        </row>
        <row r="5">
          <cell r="A5" t="str">
            <v>خالد حسين (عميل - مورد)</v>
          </cell>
          <cell r="C5" t="str">
            <v>عميل - مورد</v>
          </cell>
          <cell r="D5" t="str">
            <v>Haddil Haron</v>
          </cell>
        </row>
        <row r="6">
          <cell r="A6" t="str">
            <v>توجيزر لتصنيع الحلويات والمخابز</v>
          </cell>
          <cell r="B6" t="str">
            <v>Horeca Smart</v>
          </cell>
          <cell r="C6" t="str">
            <v xml:space="preserve">عملاء كاش </v>
          </cell>
          <cell r="D6" t="str">
            <v>Mona Mohamed</v>
          </cell>
        </row>
        <row r="7">
          <cell r="A7" t="str">
            <v>سموزى برادايس</v>
          </cell>
          <cell r="B7" t="str">
            <v>MAS</v>
          </cell>
          <cell r="C7" t="str">
            <v>عملاء اجل</v>
          </cell>
          <cell r="D7" t="str">
            <v>Haddil Haron</v>
          </cell>
        </row>
        <row r="8">
          <cell r="A8" t="str">
            <v>Chicken Balalm</v>
          </cell>
          <cell r="B8" t="str">
            <v>MAS</v>
          </cell>
          <cell r="C8" t="str">
            <v>عملاء اجل</v>
          </cell>
          <cell r="D8" t="str">
            <v>Haddil Haron</v>
          </cell>
        </row>
        <row r="9">
          <cell r="A9" t="str">
            <v>شركة الرواد لتوريد المواد الغذائية</v>
          </cell>
          <cell r="C9" t="str">
            <v>عميل - مورد</v>
          </cell>
          <cell r="D9" t="str">
            <v>Amgad Ahmed</v>
          </cell>
        </row>
        <row r="10">
          <cell r="A10" t="str">
            <v>كافيه ومطعم ستيم</v>
          </cell>
          <cell r="B10" t="str">
            <v>Horeca Smart</v>
          </cell>
          <cell r="C10" t="str">
            <v xml:space="preserve">عملاء كاش </v>
          </cell>
          <cell r="D10" t="str">
            <v>Mona Mohamed</v>
          </cell>
        </row>
        <row r="11">
          <cell r="A11" t="str">
            <v>عم شلتت للمخبوزات</v>
          </cell>
          <cell r="B11" t="str">
            <v>MAS</v>
          </cell>
          <cell r="C11" t="str">
            <v>عملاء اجل</v>
          </cell>
          <cell r="D11" t="str">
            <v>Haddil Haron</v>
          </cell>
        </row>
        <row r="12">
          <cell r="A12" t="str">
            <v>كافيه كاتورا</v>
          </cell>
          <cell r="B12" t="str">
            <v>Horeca Smart</v>
          </cell>
          <cell r="C12" t="str">
            <v xml:space="preserve">عملاء كاش </v>
          </cell>
          <cell r="D12" t="str">
            <v>Reham Maher</v>
          </cell>
        </row>
        <row r="13">
          <cell r="A13" t="str">
            <v>شركة شرق الدلتا لادارة المطاعم</v>
          </cell>
          <cell r="B13" t="str">
            <v>Horeca Smart</v>
          </cell>
          <cell r="C13" t="str">
            <v>عملاء اجل</v>
          </cell>
          <cell r="D13" t="str">
            <v>Mona Mohamed</v>
          </cell>
        </row>
        <row r="14">
          <cell r="A14" t="str">
            <v>PAVONE</v>
          </cell>
          <cell r="B14" t="str">
            <v>Horeca Smart</v>
          </cell>
          <cell r="C14" t="str">
            <v xml:space="preserve">عملاء كاش </v>
          </cell>
          <cell r="D14" t="str">
            <v>Lames Magdy</v>
          </cell>
        </row>
        <row r="15">
          <cell r="A15" t="str">
            <v>Kyoto Sushi</v>
          </cell>
          <cell r="B15" t="str">
            <v>Horeca Smart</v>
          </cell>
          <cell r="C15" t="str">
            <v xml:space="preserve">عملاء كاش </v>
          </cell>
          <cell r="D15" t="str">
            <v>Naden Amgad</v>
          </cell>
        </row>
        <row r="16">
          <cell r="A16" t="str">
            <v>مطعم اينوتشى</v>
          </cell>
          <cell r="B16" t="str">
            <v>Horeca Smart</v>
          </cell>
          <cell r="C16" t="str">
            <v xml:space="preserve">عملاء كاش </v>
          </cell>
          <cell r="D16" t="str">
            <v>Donia Khaled</v>
          </cell>
        </row>
        <row r="17">
          <cell r="A17" t="str">
            <v>جيت للتجارة والتوزيع JET- الاقاليم</v>
          </cell>
          <cell r="B17" t="str">
            <v>MAS</v>
          </cell>
          <cell r="C17" t="str">
            <v>عميل - مورد</v>
          </cell>
          <cell r="D17" t="str">
            <v>Amgad Ahmed</v>
          </cell>
        </row>
        <row r="18">
          <cell r="A18" t="str">
            <v>مطعم مايند دن</v>
          </cell>
          <cell r="B18" t="str">
            <v>MAS</v>
          </cell>
          <cell r="C18" t="str">
            <v>عملاء اجل</v>
          </cell>
          <cell r="D18" t="str">
            <v>Haddil Haron</v>
          </cell>
        </row>
        <row r="19">
          <cell r="A19" t="str">
            <v>Horeca Hub</v>
          </cell>
          <cell r="B19" t="str">
            <v>Horeca Smart</v>
          </cell>
          <cell r="C19" t="str">
            <v>عملاء اجل</v>
          </cell>
          <cell r="D19" t="str">
            <v>Mona Mohamed</v>
          </cell>
        </row>
        <row r="20">
          <cell r="A20" t="str">
            <v>Fam Bites</v>
          </cell>
          <cell r="B20" t="str">
            <v>Horeca Smart</v>
          </cell>
          <cell r="C20" t="str">
            <v xml:space="preserve">عملاء كاش </v>
          </cell>
          <cell r="D20" t="str">
            <v>Lames Magdy</v>
          </cell>
        </row>
        <row r="21">
          <cell r="A21" t="str">
            <v>مطعم ستوريا</v>
          </cell>
          <cell r="B21" t="str">
            <v>Horeca Smart</v>
          </cell>
          <cell r="C21" t="str">
            <v xml:space="preserve">عملاء كاش </v>
          </cell>
          <cell r="D21" t="str">
            <v>Reham Maher</v>
          </cell>
        </row>
        <row r="22">
          <cell r="A22" t="str">
            <v>سي مرجان</v>
          </cell>
          <cell r="B22" t="str">
            <v>Horeca Smart</v>
          </cell>
          <cell r="C22" t="str">
            <v xml:space="preserve">عملاء كاش </v>
          </cell>
          <cell r="D22" t="str">
            <v>Reham Maher</v>
          </cell>
        </row>
        <row r="23">
          <cell r="A23" t="str">
            <v>كافيه شغف</v>
          </cell>
          <cell r="B23" t="str">
            <v>Horeca Smart</v>
          </cell>
          <cell r="C23" t="str">
            <v xml:space="preserve">عملاء كاش </v>
          </cell>
          <cell r="D23" t="str">
            <v>Donia Khaled</v>
          </cell>
        </row>
        <row r="24">
          <cell r="A24" t="str">
            <v>مصنع الرياده عطيه أمام</v>
          </cell>
          <cell r="B24" t="str">
            <v>Horeca Smart</v>
          </cell>
          <cell r="C24" t="str">
            <v>عملاء اجل</v>
          </cell>
          <cell r="D24" t="str">
            <v>Donia Khaled</v>
          </cell>
        </row>
        <row r="25">
          <cell r="A25" t="str">
            <v>كافيه تالنت</v>
          </cell>
          <cell r="B25" t="str">
            <v>Horeca Smart</v>
          </cell>
          <cell r="C25" t="str">
            <v xml:space="preserve">عملاء كاش </v>
          </cell>
          <cell r="D25" t="str">
            <v>Mona Mohamed</v>
          </cell>
        </row>
        <row r="26">
          <cell r="A26" t="str">
            <v>Secret Society Burger</v>
          </cell>
          <cell r="B26" t="str">
            <v>Horeca Smart</v>
          </cell>
          <cell r="C26" t="str">
            <v xml:space="preserve">عملاء كاش </v>
          </cell>
          <cell r="D26" t="str">
            <v>Reham Maher</v>
          </cell>
        </row>
        <row r="27">
          <cell r="A27" t="str">
            <v>Smash Man</v>
          </cell>
          <cell r="B27" t="str">
            <v>Horeca Smart</v>
          </cell>
          <cell r="C27" t="str">
            <v xml:space="preserve">عملاء كاش </v>
          </cell>
          <cell r="D27" t="str">
            <v>Reham Maher</v>
          </cell>
        </row>
        <row r="28">
          <cell r="A28" t="str">
            <v>Allora Cafe</v>
          </cell>
          <cell r="B28" t="str">
            <v>Horeca Smart</v>
          </cell>
          <cell r="C28" t="str">
            <v xml:space="preserve">عملاء كاش </v>
          </cell>
          <cell r="D28" t="str">
            <v>Lames Magdy</v>
          </cell>
        </row>
        <row r="29">
          <cell r="A29" t="str">
            <v>سدرة - للحلويات</v>
          </cell>
          <cell r="B29" t="str">
            <v>MAS</v>
          </cell>
          <cell r="C29" t="str">
            <v>عملاء اجل</v>
          </cell>
          <cell r="D29" t="str">
            <v>Haddil Haron</v>
          </cell>
        </row>
        <row r="30">
          <cell r="A30" t="str">
            <v>فوالا</v>
          </cell>
          <cell r="B30" t="str">
            <v>MAS</v>
          </cell>
          <cell r="C30" t="str">
            <v>عملاء اجل</v>
          </cell>
          <cell r="D30" t="str">
            <v>Haddil Haron</v>
          </cell>
        </row>
        <row r="31">
          <cell r="A31" t="str">
            <v>Khayal - خيال</v>
          </cell>
          <cell r="B31" t="str">
            <v>Horeca Smart</v>
          </cell>
          <cell r="C31" t="str">
            <v xml:space="preserve">عملاء كاش </v>
          </cell>
          <cell r="D31" t="str">
            <v>Naden Amgad</v>
          </cell>
        </row>
        <row r="32">
          <cell r="A32" t="str">
            <v>ماتانا للمنتجات الغذائية</v>
          </cell>
          <cell r="B32" t="str">
            <v>MAS</v>
          </cell>
          <cell r="C32" t="str">
            <v>عملاء اجل</v>
          </cell>
          <cell r="D32" t="str">
            <v>Haddil Haron</v>
          </cell>
        </row>
        <row r="33">
          <cell r="A33" t="str">
            <v>COUNTRY HILLS</v>
          </cell>
          <cell r="B33" t="str">
            <v>Horeca Smart</v>
          </cell>
          <cell r="C33" t="str">
            <v xml:space="preserve">عملاء كاش </v>
          </cell>
          <cell r="D33" t="str">
            <v>Lames Magdy</v>
          </cell>
        </row>
        <row r="34">
          <cell r="A34" t="str">
            <v>EL PATIO ORO</v>
          </cell>
          <cell r="B34" t="str">
            <v>Horeca Smart</v>
          </cell>
          <cell r="C34" t="str">
            <v xml:space="preserve">عملاء كاش </v>
          </cell>
          <cell r="D34" t="str">
            <v>Lames Magdy</v>
          </cell>
        </row>
        <row r="35">
          <cell r="A35" t="str">
            <v>O'Mama Burger House</v>
          </cell>
          <cell r="B35" t="str">
            <v>Horeca Smart</v>
          </cell>
          <cell r="C35" t="str">
            <v xml:space="preserve">عملاء كاش </v>
          </cell>
          <cell r="D35" t="str">
            <v>Reham Maher</v>
          </cell>
        </row>
        <row r="36">
          <cell r="A36" t="str">
            <v>تسيباس اوول فوود</v>
          </cell>
          <cell r="B36" t="str">
            <v>MAS</v>
          </cell>
          <cell r="C36" t="str">
            <v>عملاء اجل</v>
          </cell>
          <cell r="D36" t="str">
            <v>Haddil Haron</v>
          </cell>
        </row>
        <row r="37">
          <cell r="A37" t="str">
            <v>كامب شيزار</v>
          </cell>
          <cell r="B37" t="str">
            <v>Horeca Smart</v>
          </cell>
          <cell r="C37" t="str">
            <v xml:space="preserve">عملاء كاش </v>
          </cell>
          <cell r="D37" t="str">
            <v>Lames Magdy</v>
          </cell>
        </row>
        <row r="38">
          <cell r="A38" t="str">
            <v>Bar Store</v>
          </cell>
          <cell r="B38" t="str">
            <v>Horeca Smart</v>
          </cell>
          <cell r="C38" t="str">
            <v xml:space="preserve">عملاء كاش </v>
          </cell>
          <cell r="D38" t="str">
            <v>Reham Maher</v>
          </cell>
        </row>
        <row r="39">
          <cell r="A39" t="str">
            <v>مبيعات موظفين</v>
          </cell>
          <cell r="C39" t="str">
            <v>موظفين</v>
          </cell>
          <cell r="D39" t="str">
            <v>Haddil Haron</v>
          </cell>
        </row>
        <row r="40">
          <cell r="A40" t="str">
            <v>Master Burger</v>
          </cell>
          <cell r="B40" t="str">
            <v>Horeca Smart</v>
          </cell>
          <cell r="C40" t="str">
            <v xml:space="preserve">عملاء كاش </v>
          </cell>
          <cell r="D40" t="str">
            <v>Lames Magdy</v>
          </cell>
        </row>
        <row r="41">
          <cell r="A41" t="str">
            <v>كافيه ومطعم خان شاهين</v>
          </cell>
          <cell r="B41" t="str">
            <v>Horeca Smart</v>
          </cell>
          <cell r="C41" t="str">
            <v xml:space="preserve">عملاء كاش </v>
          </cell>
          <cell r="D41" t="str">
            <v>Reham Maher</v>
          </cell>
        </row>
        <row r="42">
          <cell r="A42" t="str">
            <v>مطبخ الاطلالة</v>
          </cell>
          <cell r="B42" t="str">
            <v>Horeca Smart</v>
          </cell>
          <cell r="C42" t="str">
            <v xml:space="preserve">عملاء كاش </v>
          </cell>
          <cell r="D42" t="str">
            <v>Mona Mohamed</v>
          </cell>
        </row>
        <row r="43">
          <cell r="A43" t="str">
            <v>مطعم ويستروس</v>
          </cell>
          <cell r="B43" t="str">
            <v>Horeca Smart</v>
          </cell>
          <cell r="C43" t="str">
            <v xml:space="preserve">عملاء كاش </v>
          </cell>
          <cell r="D43" t="str">
            <v>Reham Maher</v>
          </cell>
        </row>
        <row r="44">
          <cell r="A44" t="str">
            <v>موتشو</v>
          </cell>
          <cell r="B44" t="str">
            <v>MAS</v>
          </cell>
          <cell r="C44" t="str">
            <v xml:space="preserve">عملاء كاش </v>
          </cell>
          <cell r="D44" t="str">
            <v>Haddil Haron</v>
          </cell>
        </row>
        <row r="45">
          <cell r="A45" t="str">
            <v>3K مصنع</v>
          </cell>
          <cell r="B45" t="str">
            <v>Horeca Smart</v>
          </cell>
          <cell r="C45" t="str">
            <v xml:space="preserve">عملاء كاش </v>
          </cell>
          <cell r="D45" t="str">
            <v>Mona Mohamed</v>
          </cell>
        </row>
        <row r="46">
          <cell r="A46" t="str">
            <v>Yuki sushi</v>
          </cell>
          <cell r="B46" t="str">
            <v>Horeca Smart</v>
          </cell>
          <cell r="C46" t="str">
            <v xml:space="preserve">عملاء كاش </v>
          </cell>
          <cell r="D46" t="str">
            <v>Naden Amgad</v>
          </cell>
        </row>
        <row r="47">
          <cell r="A47" t="str">
            <v>Marinette French Bakery</v>
          </cell>
          <cell r="B47" t="str">
            <v>Horeca Smart</v>
          </cell>
          <cell r="C47" t="str">
            <v xml:space="preserve">عملاء كاش </v>
          </cell>
          <cell r="D47" t="str">
            <v>Lames Magdy</v>
          </cell>
        </row>
        <row r="48">
          <cell r="A48" t="str">
            <v>اونستار للتجارة والتوريدات</v>
          </cell>
          <cell r="B48" t="str">
            <v>Horeca Smart</v>
          </cell>
          <cell r="C48" t="str">
            <v xml:space="preserve">عملاء كاش </v>
          </cell>
          <cell r="D48" t="str">
            <v>Donia Khaled</v>
          </cell>
        </row>
        <row r="49">
          <cell r="A49" t="str">
            <v>زانوبيا</v>
          </cell>
          <cell r="B49" t="str">
            <v>MAS</v>
          </cell>
          <cell r="C49" t="str">
            <v>عملاء اجل</v>
          </cell>
          <cell r="D49" t="str">
            <v>Haddil Haron</v>
          </cell>
        </row>
        <row r="50">
          <cell r="A50" t="str">
            <v>شركة الكوخ لإدارة المطاعم والكافيهات</v>
          </cell>
          <cell r="B50" t="str">
            <v>Horeca Smart</v>
          </cell>
          <cell r="C50" t="str">
            <v xml:space="preserve">عملاء كاش </v>
          </cell>
          <cell r="D50" t="str">
            <v>Reham Maher</v>
          </cell>
        </row>
        <row r="51">
          <cell r="A51" t="str">
            <v>شركة تارجت للمواد الغذائية</v>
          </cell>
          <cell r="B51" t="str">
            <v>MAS</v>
          </cell>
          <cell r="C51" t="str">
            <v>عملاء اجل</v>
          </cell>
          <cell r="D51" t="str">
            <v>Haddil Haron</v>
          </cell>
        </row>
        <row r="52">
          <cell r="A52" t="str">
            <v>نود بيكرى - الف مصنع</v>
          </cell>
          <cell r="B52" t="str">
            <v>Horeca Smart</v>
          </cell>
          <cell r="C52" t="str">
            <v xml:space="preserve">عملاء كاش </v>
          </cell>
          <cell r="D52" t="str">
            <v>Mona Mohamed</v>
          </cell>
        </row>
        <row r="53">
          <cell r="A53" t="str">
            <v>Abela</v>
          </cell>
          <cell r="B53" t="str">
            <v>MAS</v>
          </cell>
          <cell r="C53" t="str">
            <v>عملاء اجل</v>
          </cell>
          <cell r="D53" t="str">
            <v>Haddil Haron</v>
          </cell>
        </row>
        <row r="54">
          <cell r="A54" t="str">
            <v>ايتوال</v>
          </cell>
          <cell r="B54" t="str">
            <v>MAS</v>
          </cell>
          <cell r="C54" t="str">
            <v>عملاء اجل</v>
          </cell>
          <cell r="D54" t="str">
            <v>Haddil Haron</v>
          </cell>
        </row>
        <row r="55">
          <cell r="A55" t="str">
            <v>حلواني ديسباسيتو</v>
          </cell>
          <cell r="B55" t="str">
            <v>Horeca Smart</v>
          </cell>
          <cell r="C55" t="str">
            <v xml:space="preserve">عملاء كاش </v>
          </cell>
          <cell r="D55" t="str">
            <v>Mona Mohamed</v>
          </cell>
        </row>
        <row r="56">
          <cell r="A56" t="str">
            <v>شركة انليش</v>
          </cell>
          <cell r="B56" t="str">
            <v>Horeca Smart</v>
          </cell>
          <cell r="C56" t="str">
            <v xml:space="preserve">عملاء كاش </v>
          </cell>
          <cell r="D56" t="str">
            <v>Reham Maher</v>
          </cell>
        </row>
        <row r="57">
          <cell r="A57" t="str">
            <v>شركة اوشن</v>
          </cell>
          <cell r="B57" t="str">
            <v>MAS</v>
          </cell>
          <cell r="C57" t="str">
            <v>عملاء اجل</v>
          </cell>
          <cell r="D57" t="str">
            <v>Haddil Haron</v>
          </cell>
        </row>
        <row r="58">
          <cell r="A58" t="str">
            <v>ماد سوشي</v>
          </cell>
          <cell r="B58" t="str">
            <v>Horeca Smart</v>
          </cell>
          <cell r="C58" t="str">
            <v xml:space="preserve">عملاء كاش </v>
          </cell>
          <cell r="D58" t="str">
            <v>Naden Amgad</v>
          </cell>
        </row>
        <row r="59">
          <cell r="A59" t="str">
            <v>نولا</v>
          </cell>
          <cell r="B59" t="str">
            <v>MAS</v>
          </cell>
          <cell r="C59" t="str">
            <v>عملاء اجل</v>
          </cell>
          <cell r="D59" t="str">
            <v>Haddil Haron</v>
          </cell>
        </row>
        <row r="60">
          <cell r="A60" t="str">
            <v>Crunch Sushi</v>
          </cell>
          <cell r="B60" t="str">
            <v>Horeca Smart</v>
          </cell>
          <cell r="C60" t="str">
            <v xml:space="preserve">عملاء كاش </v>
          </cell>
          <cell r="D60" t="str">
            <v>Lames Magdy</v>
          </cell>
        </row>
        <row r="61">
          <cell r="A61" t="str">
            <v>حلواني بيست سويت</v>
          </cell>
          <cell r="B61" t="str">
            <v>MAS</v>
          </cell>
          <cell r="C61" t="str">
            <v>عملاء اجل</v>
          </cell>
          <cell r="D61" t="str">
            <v>Haddil Haron</v>
          </cell>
        </row>
        <row r="62">
          <cell r="A62" t="str">
            <v>مطعم بيلز بيلى</v>
          </cell>
          <cell r="B62" t="str">
            <v>Horeca Smart</v>
          </cell>
          <cell r="C62" t="str">
            <v xml:space="preserve">عملاء كاش </v>
          </cell>
          <cell r="D62" t="str">
            <v>Naden Amgad</v>
          </cell>
        </row>
        <row r="63">
          <cell r="A63" t="str">
            <v>حلواني بالمي</v>
          </cell>
          <cell r="B63" t="str">
            <v>Horeca Smart</v>
          </cell>
          <cell r="C63" t="str">
            <v>عملاء اجل</v>
          </cell>
          <cell r="D63" t="str">
            <v>Mona Mohamed</v>
          </cell>
        </row>
        <row r="64">
          <cell r="A64" t="str">
            <v>Burger Republic</v>
          </cell>
          <cell r="B64" t="str">
            <v>Horeca Smart</v>
          </cell>
          <cell r="C64" t="str">
            <v>عملاء اجل</v>
          </cell>
          <cell r="D64" t="str">
            <v>Mona Mohamed</v>
          </cell>
        </row>
        <row r="65">
          <cell r="A65" t="str">
            <v>CUPRESSO</v>
          </cell>
          <cell r="B65" t="str">
            <v>Horeca Smart</v>
          </cell>
          <cell r="C65" t="str">
            <v xml:space="preserve">عملاء كاش </v>
          </cell>
          <cell r="D65" t="str">
            <v>Reham Maher</v>
          </cell>
        </row>
        <row r="66">
          <cell r="A66" t="str">
            <v>Citavo Cafe</v>
          </cell>
          <cell r="B66" t="str">
            <v>Horeca Smart</v>
          </cell>
          <cell r="C66" t="str">
            <v xml:space="preserve">عملاء كاش </v>
          </cell>
          <cell r="D66" t="str">
            <v>Donia Khaled</v>
          </cell>
        </row>
        <row r="67">
          <cell r="A67" t="str">
            <v>FB Cook</v>
          </cell>
          <cell r="B67" t="str">
            <v>Horeca Smart</v>
          </cell>
          <cell r="C67" t="str">
            <v xml:space="preserve">عملاء كاش </v>
          </cell>
          <cell r="D67" t="str">
            <v>Mona Mohamed</v>
          </cell>
        </row>
        <row r="68">
          <cell r="A68" t="str">
            <v>Grounds Bakery</v>
          </cell>
          <cell r="B68" t="str">
            <v>Horeca Smart</v>
          </cell>
          <cell r="C68" t="str">
            <v xml:space="preserve">عملاء كاش </v>
          </cell>
          <cell r="D68" t="str">
            <v>Reham Maher</v>
          </cell>
        </row>
        <row r="69">
          <cell r="A69" t="str">
            <v>مصنع فود بيزنس جيت</v>
          </cell>
          <cell r="B69" t="str">
            <v>Horeca Smart</v>
          </cell>
          <cell r="C69" t="str">
            <v xml:space="preserve">عملاء كاش </v>
          </cell>
          <cell r="D69" t="str">
            <v>Naden Amgad</v>
          </cell>
        </row>
        <row r="70">
          <cell r="A70" t="str">
            <v>Kneaded Pizza</v>
          </cell>
          <cell r="B70" t="str">
            <v>Horeca Smart</v>
          </cell>
          <cell r="C70" t="str">
            <v xml:space="preserve">عملاء كاش </v>
          </cell>
          <cell r="D70" t="str">
            <v>Mona Mohamed</v>
          </cell>
        </row>
        <row r="71">
          <cell r="A71" t="str">
            <v>جرو برو لادارة المطاعم</v>
          </cell>
          <cell r="B71" t="str">
            <v>Horeca Smart</v>
          </cell>
          <cell r="C71" t="str">
            <v xml:space="preserve">عملاء كاش </v>
          </cell>
          <cell r="D71" t="str">
            <v>Naden Amgad</v>
          </cell>
        </row>
        <row r="72">
          <cell r="A72" t="str">
            <v>كافيه هليوبوليس</v>
          </cell>
          <cell r="B72" t="str">
            <v>Horeca Smart</v>
          </cell>
          <cell r="C72" t="str">
            <v xml:space="preserve">عملاء كاش </v>
          </cell>
          <cell r="D72" t="str">
            <v>Mona Mohamed</v>
          </cell>
        </row>
        <row r="73">
          <cell r="A73" t="str">
            <v>لينورا للحلويات والمخبوزات</v>
          </cell>
          <cell r="B73" t="str">
            <v>MAS</v>
          </cell>
          <cell r="C73" t="str">
            <v>عملاء اجل</v>
          </cell>
          <cell r="D73" t="str">
            <v>Haddil Haron</v>
          </cell>
        </row>
        <row r="74">
          <cell r="A74" t="str">
            <v>مطعم بون ابيتي</v>
          </cell>
          <cell r="B74" t="str">
            <v>Horeca Smart</v>
          </cell>
          <cell r="C74" t="str">
            <v xml:space="preserve">عملاء كاش </v>
          </cell>
          <cell r="D74" t="str">
            <v>Mona Mohamed</v>
          </cell>
        </row>
        <row r="75">
          <cell r="A75" t="str">
            <v>مطعم كوزينيه</v>
          </cell>
          <cell r="B75" t="str">
            <v>Horeca Smart</v>
          </cell>
          <cell r="C75" t="str">
            <v xml:space="preserve">عملاء كاش </v>
          </cell>
          <cell r="D75" t="str">
            <v>Lames Magdy</v>
          </cell>
        </row>
        <row r="76">
          <cell r="A76" t="str">
            <v>مطعم و كافية خمسينة</v>
          </cell>
          <cell r="B76" t="str">
            <v>Horeca Smart</v>
          </cell>
          <cell r="C76" t="str">
            <v xml:space="preserve">عملاء كاش </v>
          </cell>
          <cell r="D76" t="str">
            <v>Lames Magdy</v>
          </cell>
        </row>
        <row r="77">
          <cell r="A77" t="str">
            <v>Duchess</v>
          </cell>
          <cell r="B77" t="str">
            <v>Horeca Smart</v>
          </cell>
          <cell r="C77" t="str">
            <v xml:space="preserve">عملاء كاش </v>
          </cell>
          <cell r="D77" t="str">
            <v>Reham Maher</v>
          </cell>
        </row>
        <row r="78">
          <cell r="A78" t="str">
            <v>الاخوة للتوريدات</v>
          </cell>
          <cell r="B78" t="str">
            <v>Horeca Smart</v>
          </cell>
          <cell r="C78" t="str">
            <v xml:space="preserve">عملاء كاش </v>
          </cell>
          <cell r="D78" t="str">
            <v>Donia Khaled</v>
          </cell>
        </row>
        <row r="79">
          <cell r="A79" t="str">
            <v>ريزنج ستار (sushi&amp;co)</v>
          </cell>
          <cell r="B79" t="str">
            <v>Horeca Smart</v>
          </cell>
          <cell r="C79" t="str">
            <v xml:space="preserve">عملاء كاش </v>
          </cell>
          <cell r="D79" t="str">
            <v>Reham Maher</v>
          </cell>
        </row>
        <row r="80">
          <cell r="A80" t="str">
            <v>ماجيستي</v>
          </cell>
          <cell r="B80" t="str">
            <v>MAS</v>
          </cell>
          <cell r="C80" t="str">
            <v>عملاء اجل</v>
          </cell>
          <cell r="D80" t="str">
            <v>Haddil Haron</v>
          </cell>
        </row>
        <row r="81">
          <cell r="A81" t="str">
            <v>Maqha</v>
          </cell>
          <cell r="B81" t="str">
            <v>Horeca Smart</v>
          </cell>
          <cell r="C81" t="str">
            <v xml:space="preserve">عملاء كاش </v>
          </cell>
          <cell r="D81" t="str">
            <v>Mona Mohamed</v>
          </cell>
        </row>
        <row r="82">
          <cell r="A82" t="str">
            <v>Sushi Gate</v>
          </cell>
          <cell r="B82" t="str">
            <v>Horeca Smart</v>
          </cell>
          <cell r="C82" t="str">
            <v xml:space="preserve">عملاء كاش </v>
          </cell>
          <cell r="D82" t="str">
            <v>Naden Amgad</v>
          </cell>
        </row>
        <row r="83">
          <cell r="A83" t="str">
            <v>بلبن</v>
          </cell>
          <cell r="B83" t="str">
            <v>MAS</v>
          </cell>
          <cell r="C83" t="str">
            <v>عملاء اجل</v>
          </cell>
          <cell r="D83" t="str">
            <v>Haddil Haron</v>
          </cell>
        </row>
        <row r="84">
          <cell r="A84" t="str">
            <v>دووزى</v>
          </cell>
          <cell r="B84" t="str">
            <v>Horeca Smart</v>
          </cell>
          <cell r="C84" t="str">
            <v xml:space="preserve">عملاء كاش </v>
          </cell>
          <cell r="D84" t="str">
            <v>Donia Khaled</v>
          </cell>
        </row>
        <row r="85">
          <cell r="A85" t="str">
            <v>فندق مارشاربل</v>
          </cell>
          <cell r="B85" t="str">
            <v>Horeca Smart</v>
          </cell>
          <cell r="C85" t="str">
            <v>عملاء اجل</v>
          </cell>
          <cell r="D85" t="str">
            <v>Naden Amgad</v>
          </cell>
        </row>
        <row r="86">
          <cell r="A86" t="str">
            <v>كافيه لو</v>
          </cell>
          <cell r="B86" t="str">
            <v>Horeca Smart</v>
          </cell>
          <cell r="C86" t="str">
            <v xml:space="preserve">عملاء كاش </v>
          </cell>
          <cell r="D86" t="str">
            <v>Donia Khaled</v>
          </cell>
        </row>
        <row r="87">
          <cell r="A87" t="str">
            <v>ناديةمحمد عبد الغنى ابو طالب</v>
          </cell>
          <cell r="C87" t="str">
            <v xml:space="preserve">عملاء كاش </v>
          </cell>
          <cell r="D87" t="str">
            <v>AbdElrhaman Farrag</v>
          </cell>
        </row>
        <row r="88">
          <cell r="A88" t="str">
            <v>Between the Buns</v>
          </cell>
          <cell r="B88" t="str">
            <v>Horeca Smart</v>
          </cell>
          <cell r="C88" t="str">
            <v xml:space="preserve">عملاء كاش </v>
          </cell>
          <cell r="D88" t="str">
            <v>Mona Mohamed</v>
          </cell>
        </row>
        <row r="89">
          <cell r="A89" t="str">
            <v>السويفى ( عميل ومورد )</v>
          </cell>
          <cell r="B89" t="str">
            <v>MAS</v>
          </cell>
          <cell r="C89" t="str">
            <v>عميل - مورد</v>
          </cell>
          <cell r="D89" t="str">
            <v>Haddil Haron</v>
          </cell>
        </row>
        <row r="90">
          <cell r="A90" t="str">
            <v>بيت ولاد رزق</v>
          </cell>
          <cell r="B90" t="str">
            <v>Horeca Smart</v>
          </cell>
          <cell r="C90" t="str">
            <v xml:space="preserve">عملاء كاش </v>
          </cell>
          <cell r="D90" t="str">
            <v>Reham Maher</v>
          </cell>
        </row>
        <row r="91">
          <cell r="A91" t="str">
            <v>ليفن</v>
          </cell>
          <cell r="B91" t="str">
            <v>Horeca Smart</v>
          </cell>
          <cell r="C91" t="str">
            <v xml:space="preserve">عملاء كاش </v>
          </cell>
          <cell r="D91" t="str">
            <v>Naden Amgad</v>
          </cell>
        </row>
        <row r="92">
          <cell r="A92" t="str">
            <v>مطعم فالنسيا</v>
          </cell>
          <cell r="B92" t="str">
            <v>Horeca Smart</v>
          </cell>
          <cell r="C92" t="str">
            <v xml:space="preserve">عملاء كاش </v>
          </cell>
          <cell r="D92" t="str">
            <v>Mona Mohamed</v>
          </cell>
        </row>
        <row r="93">
          <cell r="A93" t="str">
            <v>mezoo</v>
          </cell>
          <cell r="B93" t="str">
            <v>Horeca Smart</v>
          </cell>
          <cell r="C93" t="str">
            <v xml:space="preserve">عملاء كاش </v>
          </cell>
          <cell r="D93" t="str">
            <v>Mona Mohamed</v>
          </cell>
        </row>
        <row r="94">
          <cell r="A94" t="str">
            <v>taka sushi</v>
          </cell>
          <cell r="B94" t="str">
            <v>Horeca Smart</v>
          </cell>
          <cell r="C94" t="str">
            <v xml:space="preserve">عملاء كاش </v>
          </cell>
          <cell r="D94" t="str">
            <v>Reham Maher</v>
          </cell>
        </row>
        <row r="95">
          <cell r="A95" t="str">
            <v>شركة ديلايت للصناعات الغذائية ش ذ م م</v>
          </cell>
          <cell r="B95" t="str">
            <v>MAS</v>
          </cell>
          <cell r="C95" t="str">
            <v xml:space="preserve">عملاء كاش </v>
          </cell>
          <cell r="D95" t="str">
            <v>Haddil Haron</v>
          </cell>
        </row>
        <row r="96">
          <cell r="A96" t="str">
            <v>كوفي هاوس</v>
          </cell>
          <cell r="B96" t="str">
            <v>Horeca Smart</v>
          </cell>
          <cell r="C96" t="str">
            <v xml:space="preserve">عملاء كاش </v>
          </cell>
          <cell r="D96" t="str">
            <v>Mona Mohamed</v>
          </cell>
        </row>
        <row r="97">
          <cell r="A97" t="str">
            <v>كومون جراوند لإدارة المشروعات</v>
          </cell>
          <cell r="B97" t="str">
            <v>Horeca Smart</v>
          </cell>
          <cell r="C97" t="str">
            <v xml:space="preserve">عملاء كاش </v>
          </cell>
          <cell r="D97" t="str">
            <v>Lames Magdy</v>
          </cell>
        </row>
        <row r="98">
          <cell r="A98" t="str">
            <v>مصنع كانيلي</v>
          </cell>
          <cell r="B98" t="str">
            <v>MAS</v>
          </cell>
          <cell r="C98" t="str">
            <v xml:space="preserve">عملاء كاش </v>
          </cell>
          <cell r="D98" t="str">
            <v>Haddil Haron</v>
          </cell>
        </row>
        <row r="99">
          <cell r="A99" t="str">
            <v>EDDY'S Bakery</v>
          </cell>
          <cell r="B99" t="str">
            <v>Horeca Smart</v>
          </cell>
          <cell r="C99" t="str">
            <v xml:space="preserve">عملاء كاش </v>
          </cell>
          <cell r="D99" t="str">
            <v>Mona Mohamed</v>
          </cell>
        </row>
        <row r="100">
          <cell r="A100" t="str">
            <v>Kokio chicken</v>
          </cell>
          <cell r="B100" t="str">
            <v>Horeca Smart</v>
          </cell>
          <cell r="C100" t="str">
            <v xml:space="preserve">عملاء كاش </v>
          </cell>
          <cell r="D100" t="str">
            <v>Mona Mohamed</v>
          </cell>
        </row>
        <row r="101">
          <cell r="A101" t="str">
            <v>اما سوشي</v>
          </cell>
          <cell r="B101" t="str">
            <v>Horeca Smart</v>
          </cell>
          <cell r="C101" t="str">
            <v>عملاء اجل</v>
          </cell>
          <cell r="D101" t="str">
            <v>Reham Maher</v>
          </cell>
        </row>
        <row r="102">
          <cell r="A102" t="str">
            <v>بيتزا بريك</v>
          </cell>
          <cell r="B102" t="str">
            <v>Horeca Smart</v>
          </cell>
          <cell r="C102" t="str">
            <v xml:space="preserve">عملاء كاش </v>
          </cell>
          <cell r="D102" t="str">
            <v>Donia Khaled</v>
          </cell>
        </row>
        <row r="103">
          <cell r="A103" t="str">
            <v>شركة أنفستمينت جيت للصناعات الغذائية</v>
          </cell>
          <cell r="B103" t="str">
            <v>MAS</v>
          </cell>
          <cell r="C103" t="str">
            <v>عملاء اجل</v>
          </cell>
          <cell r="D103" t="str">
            <v>Haddil Haron</v>
          </cell>
        </row>
        <row r="104">
          <cell r="A104" t="str">
            <v>شركة توريدات الهدايا</v>
          </cell>
          <cell r="B104" t="str">
            <v>Horeca Smart</v>
          </cell>
          <cell r="C104" t="str">
            <v xml:space="preserve">عملاء كاش </v>
          </cell>
          <cell r="D104" t="str">
            <v>Donia Khaled</v>
          </cell>
        </row>
        <row r="105">
          <cell r="A105" t="str">
            <v>طبالي</v>
          </cell>
          <cell r="B105" t="str">
            <v>MAS</v>
          </cell>
          <cell r="C105" t="str">
            <v>عملاء اجل</v>
          </cell>
          <cell r="D105" t="str">
            <v>Haddil Haron</v>
          </cell>
        </row>
        <row r="106">
          <cell r="A106" t="str">
            <v>هريدى للتوريدات (عميل - مورد)</v>
          </cell>
          <cell r="B106" t="str">
            <v>MAS</v>
          </cell>
          <cell r="C106" t="str">
            <v>عميل - مورد</v>
          </cell>
          <cell r="D106" t="str">
            <v>Haddil Haron</v>
          </cell>
        </row>
        <row r="107">
          <cell r="A107" t="str">
            <v>Food Concepts</v>
          </cell>
          <cell r="B107" t="str">
            <v>Horeca Smart</v>
          </cell>
          <cell r="C107" t="str">
            <v xml:space="preserve">عملاء كاش </v>
          </cell>
          <cell r="D107" t="str">
            <v>Reham Maher</v>
          </cell>
        </row>
        <row r="108">
          <cell r="A108" t="str">
            <v>Rubybeans</v>
          </cell>
          <cell r="B108" t="str">
            <v>Horeca Smart</v>
          </cell>
          <cell r="C108" t="str">
            <v xml:space="preserve">عملاء كاش </v>
          </cell>
          <cell r="D108" t="str">
            <v>Lames Magdy</v>
          </cell>
        </row>
        <row r="109">
          <cell r="A109" t="str">
            <v>مطعم تشيكسي</v>
          </cell>
          <cell r="B109" t="str">
            <v>Horeca Smart</v>
          </cell>
          <cell r="C109" t="str">
            <v xml:space="preserve">عملاء كاش </v>
          </cell>
          <cell r="D109" t="str">
            <v>Reham Maher</v>
          </cell>
        </row>
        <row r="110">
          <cell r="A110" t="str">
            <v>هانى - فريدام</v>
          </cell>
          <cell r="B110" t="str">
            <v>MAS</v>
          </cell>
          <cell r="C110" t="str">
            <v xml:space="preserve">عملاء كاش </v>
          </cell>
          <cell r="D110" t="str">
            <v>Haddil Haron</v>
          </cell>
        </row>
        <row r="111">
          <cell r="A111" t="str">
            <v>Migas Madinaty</v>
          </cell>
          <cell r="B111" t="str">
            <v>Horeca Smart</v>
          </cell>
          <cell r="C111" t="str">
            <v xml:space="preserve">عملاء كاش </v>
          </cell>
          <cell r="D111" t="str">
            <v>Mona Mohamed</v>
          </cell>
        </row>
        <row r="112">
          <cell r="A112" t="str">
            <v>شارمينار للمؤكولات الهندية</v>
          </cell>
          <cell r="B112" t="str">
            <v>Horeca Smart</v>
          </cell>
          <cell r="C112" t="str">
            <v xml:space="preserve">عملاء كاش </v>
          </cell>
          <cell r="D112" t="str">
            <v>Reham Maher</v>
          </cell>
        </row>
        <row r="113">
          <cell r="A113" t="str">
            <v>شركة عزايم للصناعات الغذائية (ديوكس)</v>
          </cell>
          <cell r="B113" t="str">
            <v>MAS</v>
          </cell>
          <cell r="C113" t="str">
            <v>عملاء اجل</v>
          </cell>
          <cell r="D113" t="str">
            <v>Haddil Haron</v>
          </cell>
        </row>
        <row r="114">
          <cell r="A114" t="str">
            <v>صاج السمك</v>
          </cell>
          <cell r="B114" t="str">
            <v>Horeca Smart</v>
          </cell>
          <cell r="C114" t="str">
            <v xml:space="preserve">عملاء كاش </v>
          </cell>
          <cell r="D114" t="str">
            <v>Reham Maher</v>
          </cell>
        </row>
        <row r="115">
          <cell r="A115" t="str">
            <v>كافيه كاريزما</v>
          </cell>
          <cell r="B115" t="str">
            <v>Horeca Smart</v>
          </cell>
          <cell r="C115" t="str">
            <v xml:space="preserve">عملاء كاش </v>
          </cell>
          <cell r="D115" t="str">
            <v>Mona Mohamed</v>
          </cell>
        </row>
        <row r="116">
          <cell r="A116" t="str">
            <v>كافيه ومطعم كرافت-زايد</v>
          </cell>
          <cell r="B116" t="str">
            <v>Horeca Smart</v>
          </cell>
          <cell r="C116" t="str">
            <v xml:space="preserve">عملاء كاش </v>
          </cell>
          <cell r="D116" t="str">
            <v>Naden Amgad</v>
          </cell>
        </row>
        <row r="117">
          <cell r="A117" t="str">
            <v>مشارق للتوريدات</v>
          </cell>
          <cell r="B117" t="str">
            <v>MAS</v>
          </cell>
          <cell r="C117" t="str">
            <v xml:space="preserve">عملاء كاش </v>
          </cell>
          <cell r="D117" t="str">
            <v>Haddil Haron</v>
          </cell>
        </row>
        <row r="118">
          <cell r="A118" t="str">
            <v>مطعم القنبلة</v>
          </cell>
          <cell r="B118" t="str">
            <v>Horeca Smart</v>
          </cell>
          <cell r="C118" t="str">
            <v xml:space="preserve">عملاء كاش </v>
          </cell>
          <cell r="D118" t="str">
            <v>Reham Maher</v>
          </cell>
        </row>
        <row r="119">
          <cell r="A119" t="str">
            <v>Butlers &amp; Co Catering</v>
          </cell>
          <cell r="B119" t="str">
            <v>MAS</v>
          </cell>
          <cell r="C119" t="str">
            <v xml:space="preserve">عملاء كاش </v>
          </cell>
          <cell r="D119" t="str">
            <v>Haddil Haron</v>
          </cell>
        </row>
        <row r="120">
          <cell r="A120" t="str">
            <v>pizza mozza</v>
          </cell>
          <cell r="B120" t="str">
            <v>Horeca Smart</v>
          </cell>
          <cell r="C120" t="str">
            <v xml:space="preserve">عملاء كاش </v>
          </cell>
          <cell r="D120" t="str">
            <v>Mona Mohamed</v>
          </cell>
        </row>
        <row r="121">
          <cell r="A121" t="str">
            <v>بيتزا المدملك</v>
          </cell>
          <cell r="B121" t="str">
            <v>Horeca Smart</v>
          </cell>
          <cell r="C121" t="str">
            <v xml:space="preserve">عملاء كاش </v>
          </cell>
          <cell r="D121" t="str">
            <v>Naden Amgad</v>
          </cell>
        </row>
        <row r="122">
          <cell r="A122" t="str">
            <v>ريفولى</v>
          </cell>
          <cell r="B122" t="str">
            <v>MAS</v>
          </cell>
          <cell r="C122" t="str">
            <v>عملاء اجل</v>
          </cell>
          <cell r="D122" t="str">
            <v>Haddil Haron</v>
          </cell>
        </row>
        <row r="123">
          <cell r="A123" t="str">
            <v>شركة كلاودز ايجيبت</v>
          </cell>
          <cell r="B123" t="str">
            <v>MAS</v>
          </cell>
          <cell r="C123" t="str">
            <v>عملاء اجل</v>
          </cell>
          <cell r="D123" t="str">
            <v>Haddil Haron</v>
          </cell>
        </row>
        <row r="124">
          <cell r="A124" t="str">
            <v>شيفرد للاستيراد والتصدير</v>
          </cell>
          <cell r="B124" t="str">
            <v>MAS</v>
          </cell>
          <cell r="C124" t="str">
            <v xml:space="preserve">عملاء كاش </v>
          </cell>
          <cell r="D124" t="str">
            <v>Haddil Haron</v>
          </cell>
        </row>
        <row r="125">
          <cell r="A125" t="str">
            <v>كافيه ومطعم ركشا</v>
          </cell>
          <cell r="B125" t="str">
            <v>Horeca Smart</v>
          </cell>
          <cell r="C125" t="str">
            <v>عملاء اجل</v>
          </cell>
          <cell r="D125" t="str">
            <v>Lames Magdy</v>
          </cell>
        </row>
        <row r="126">
          <cell r="A126" t="str">
            <v>مصر لمستلزمات المخابز</v>
          </cell>
          <cell r="B126" t="str">
            <v>MAS</v>
          </cell>
          <cell r="C126" t="str">
            <v xml:space="preserve">عملاء كاش </v>
          </cell>
          <cell r="D126" t="str">
            <v>Haddil Haron</v>
          </cell>
        </row>
        <row r="127">
          <cell r="A127" t="str">
            <v>On Fire Burger</v>
          </cell>
          <cell r="B127" t="str">
            <v>Horeca Smart</v>
          </cell>
          <cell r="C127" t="str">
            <v xml:space="preserve">عملاء كاش </v>
          </cell>
          <cell r="D127" t="str">
            <v>Lames Magdy</v>
          </cell>
        </row>
        <row r="128">
          <cell r="A128" t="str">
            <v>Rich Cafe</v>
          </cell>
          <cell r="B128" t="str">
            <v>Horeca Smart</v>
          </cell>
          <cell r="C128" t="str">
            <v xml:space="preserve">عملاء كاش </v>
          </cell>
          <cell r="D128" t="str">
            <v>Mona Mohamed</v>
          </cell>
        </row>
        <row r="129">
          <cell r="A129" t="str">
            <v>The house</v>
          </cell>
          <cell r="B129" t="str">
            <v>Horeca Smart</v>
          </cell>
          <cell r="C129" t="str">
            <v xml:space="preserve">عملاء كاش </v>
          </cell>
          <cell r="D129" t="str">
            <v>Shorouk khaled</v>
          </cell>
        </row>
        <row r="130">
          <cell r="A130" t="str">
            <v>دهب دمشقي</v>
          </cell>
          <cell r="B130" t="str">
            <v>Horeca Smart</v>
          </cell>
          <cell r="C130" t="str">
            <v xml:space="preserve">عملاء كاش </v>
          </cell>
          <cell r="D130" t="str">
            <v>Lames Magdy</v>
          </cell>
        </row>
        <row r="131">
          <cell r="A131" t="str">
            <v>كافيه ليالي</v>
          </cell>
          <cell r="B131" t="str">
            <v>Horeca Smart</v>
          </cell>
          <cell r="C131" t="str">
            <v xml:space="preserve">عملاء كاش </v>
          </cell>
          <cell r="D131" t="str">
            <v>Reham Maher</v>
          </cell>
        </row>
        <row r="132">
          <cell r="A132" t="str">
            <v>كافيه ومطعم  حواري كايرو</v>
          </cell>
          <cell r="B132" t="str">
            <v>Horeca Smart</v>
          </cell>
          <cell r="C132" t="str">
            <v xml:space="preserve">عملاء كاش </v>
          </cell>
          <cell r="D132" t="str">
            <v>Naden Amgad</v>
          </cell>
        </row>
        <row r="133">
          <cell r="A133" t="str">
            <v>مطعم اكاكوس</v>
          </cell>
          <cell r="B133" t="str">
            <v>Horeca Smart</v>
          </cell>
          <cell r="C133" t="str">
            <v xml:space="preserve">عملاء كاش </v>
          </cell>
          <cell r="D133" t="str">
            <v>Lames Magdy</v>
          </cell>
        </row>
        <row r="134">
          <cell r="A134" t="str">
            <v>MUGLY Cafe</v>
          </cell>
          <cell r="B134" t="str">
            <v>Horeca Smart</v>
          </cell>
          <cell r="C134" t="str">
            <v xml:space="preserve">عملاء كاش </v>
          </cell>
          <cell r="D134" t="str">
            <v>Reham Maher</v>
          </cell>
        </row>
        <row r="135">
          <cell r="A135" t="str">
            <v>Moo</v>
          </cell>
          <cell r="B135" t="str">
            <v>Horeca Smart</v>
          </cell>
          <cell r="C135" t="str">
            <v xml:space="preserve">عملاء كاش </v>
          </cell>
          <cell r="D135" t="str">
            <v>Lames Magdy</v>
          </cell>
        </row>
        <row r="136">
          <cell r="A136" t="str">
            <v>بابا جونز(فانتدج ايجيبت)</v>
          </cell>
          <cell r="B136" t="str">
            <v>MAS</v>
          </cell>
          <cell r="C136" t="str">
            <v>عملاء اجل</v>
          </cell>
          <cell r="D136" t="str">
            <v>Haddil Haron</v>
          </cell>
        </row>
        <row r="137">
          <cell r="A137" t="str">
            <v>بيكينج فودز للصنعات</v>
          </cell>
          <cell r="B137" t="str">
            <v>Horeca Smart</v>
          </cell>
          <cell r="C137" t="str">
            <v>عملاء اجل</v>
          </cell>
          <cell r="D137" t="str">
            <v>Mona Mohamed</v>
          </cell>
        </row>
        <row r="138">
          <cell r="A138" t="str">
            <v>تورينو</v>
          </cell>
          <cell r="B138" t="str">
            <v>Horeca Smart</v>
          </cell>
          <cell r="C138" t="str">
            <v xml:space="preserve">عملاء كاش </v>
          </cell>
          <cell r="D138" t="str">
            <v>Lames Magdy</v>
          </cell>
        </row>
        <row r="139">
          <cell r="A139" t="str">
            <v>شيما سوشي</v>
          </cell>
          <cell r="B139" t="str">
            <v>Horeca Smart</v>
          </cell>
          <cell r="C139" t="str">
            <v xml:space="preserve">عملاء كاش </v>
          </cell>
          <cell r="D139" t="str">
            <v>Naden Amgad</v>
          </cell>
        </row>
        <row r="140">
          <cell r="A140" t="str">
            <v>كافيه باراديس</v>
          </cell>
          <cell r="B140" t="str">
            <v>Horeca Smart</v>
          </cell>
          <cell r="C140" t="str">
            <v xml:space="preserve">عملاء كاش </v>
          </cell>
          <cell r="D140" t="str">
            <v>Donia Khaled</v>
          </cell>
        </row>
        <row r="141">
          <cell r="A141" t="str">
            <v>كاليستو</v>
          </cell>
          <cell r="B141" t="str">
            <v>Horeca Smart</v>
          </cell>
          <cell r="C141" t="str">
            <v xml:space="preserve">عملاء كاش </v>
          </cell>
          <cell r="D141" t="str">
            <v>Mona Mohamed</v>
          </cell>
        </row>
        <row r="142">
          <cell r="A142" t="str">
            <v>مبيعات نقدي</v>
          </cell>
          <cell r="C142" t="str">
            <v xml:space="preserve">عملاء كاش </v>
          </cell>
          <cell r="D142" t="str">
            <v>Haddil Haron</v>
          </cell>
        </row>
        <row r="143">
          <cell r="A143" t="str">
            <v>مطعم ريترو</v>
          </cell>
          <cell r="B143" t="str">
            <v>Horeca Smart</v>
          </cell>
          <cell r="C143" t="str">
            <v xml:space="preserve">عملاء كاش </v>
          </cell>
          <cell r="D143" t="str">
            <v>Mona Mohamed</v>
          </cell>
        </row>
        <row r="144">
          <cell r="A144" t="str">
            <v>Perla</v>
          </cell>
          <cell r="B144" t="str">
            <v>Horeca Smart</v>
          </cell>
          <cell r="C144" t="str">
            <v xml:space="preserve">عملاء كاش </v>
          </cell>
          <cell r="D144" t="str">
            <v>Lames Magdy</v>
          </cell>
        </row>
        <row r="145">
          <cell r="A145" t="str">
            <v>بهيج</v>
          </cell>
          <cell r="B145" t="str">
            <v>MAS</v>
          </cell>
          <cell r="C145" t="str">
            <v>عملاء اجل</v>
          </cell>
          <cell r="D145" t="str">
            <v>Haddil Haron</v>
          </cell>
        </row>
        <row r="146">
          <cell r="A146" t="str">
            <v>رويال جروب</v>
          </cell>
          <cell r="B146" t="str">
            <v>MAS</v>
          </cell>
          <cell r="C146" t="str">
            <v>عملاء اجل</v>
          </cell>
          <cell r="D146" t="str">
            <v>Haddil Haron</v>
          </cell>
        </row>
        <row r="147">
          <cell r="A147" t="str">
            <v>شاورمر</v>
          </cell>
          <cell r="B147" t="str">
            <v>MAS</v>
          </cell>
          <cell r="C147" t="str">
            <v>عملاء اجل</v>
          </cell>
          <cell r="D147" t="str">
            <v>Haddil Haron</v>
          </cell>
        </row>
        <row r="148">
          <cell r="A148" t="str">
            <v>شركة وهمى</v>
          </cell>
          <cell r="B148" t="str">
            <v>MAS</v>
          </cell>
          <cell r="C148" t="str">
            <v>عملاء اجل</v>
          </cell>
          <cell r="D148" t="str">
            <v>Haddil Haron</v>
          </cell>
        </row>
        <row r="149">
          <cell r="A149" t="str">
            <v>عيد (عميل - مورد)</v>
          </cell>
          <cell r="B149" t="str">
            <v>MAS</v>
          </cell>
          <cell r="C149" t="str">
            <v>عميل - مورد</v>
          </cell>
          <cell r="D149" t="str">
            <v>Haddil Haron</v>
          </cell>
        </row>
        <row r="150">
          <cell r="A150" t="str">
            <v>كافيه أبو كيف</v>
          </cell>
          <cell r="B150" t="str">
            <v>Horeca Smart</v>
          </cell>
          <cell r="C150" t="str">
            <v xml:space="preserve">عملاء كاش </v>
          </cell>
          <cell r="D150" t="str">
            <v>Donia Khaled</v>
          </cell>
        </row>
        <row r="151">
          <cell r="A151" t="str">
            <v>لفة معلم</v>
          </cell>
          <cell r="B151" t="str">
            <v>Horeca Smart</v>
          </cell>
          <cell r="C151" t="str">
            <v xml:space="preserve">عملاء كاش </v>
          </cell>
          <cell r="D151" t="str">
            <v>Naden Amgad</v>
          </cell>
        </row>
        <row r="152">
          <cell r="A152" t="str">
            <v>مطعم ابو بكر السوري</v>
          </cell>
          <cell r="C152" t="str">
            <v xml:space="preserve">عملاء كاش </v>
          </cell>
          <cell r="D152" t="str">
            <v>Reham Maher</v>
          </cell>
        </row>
        <row r="153">
          <cell r="A153" t="str">
            <v>BRB Coffee</v>
          </cell>
          <cell r="B153" t="str">
            <v>Horeca Smart</v>
          </cell>
          <cell r="C153" t="str">
            <v xml:space="preserve">عملاء كاش </v>
          </cell>
          <cell r="D153" t="str">
            <v>Mona Mohamed</v>
          </cell>
        </row>
        <row r="154">
          <cell r="A154" t="str">
            <v>Motche do Cafe</v>
          </cell>
          <cell r="B154" t="str">
            <v>Horeca Smart</v>
          </cell>
          <cell r="C154" t="str">
            <v xml:space="preserve">عملاء كاش </v>
          </cell>
          <cell r="D154" t="str">
            <v>Lames Magdy</v>
          </cell>
        </row>
        <row r="155">
          <cell r="A155" t="str">
            <v>Rivo Cafe - العبور</v>
          </cell>
          <cell r="B155" t="str">
            <v>Horeca Smart</v>
          </cell>
          <cell r="C155" t="str">
            <v xml:space="preserve">عملاء كاش </v>
          </cell>
          <cell r="D155" t="str">
            <v>Reham Maher</v>
          </cell>
        </row>
        <row r="156">
          <cell r="A156" t="str">
            <v>The Best Supplies</v>
          </cell>
          <cell r="B156" t="str">
            <v>Horeca Smart</v>
          </cell>
          <cell r="C156" t="str">
            <v xml:space="preserve">عملاء كاش </v>
          </cell>
          <cell r="D156" t="str">
            <v>Reham Maher</v>
          </cell>
        </row>
        <row r="157">
          <cell r="A157" t="str">
            <v>اوز لإدارة المطاعم</v>
          </cell>
          <cell r="B157" t="str">
            <v>Horeca Smart</v>
          </cell>
          <cell r="C157" t="str">
            <v>عملاء اجل</v>
          </cell>
          <cell r="D157" t="str">
            <v>Mona Mohamed</v>
          </cell>
        </row>
        <row r="158">
          <cell r="A158" t="str">
            <v>شركة افرو ايجيبت تريد</v>
          </cell>
          <cell r="B158" t="str">
            <v>Horeca Smart</v>
          </cell>
          <cell r="C158" t="str">
            <v xml:space="preserve">عملاء كاش </v>
          </cell>
          <cell r="D158" t="str">
            <v>Naden Amgad</v>
          </cell>
        </row>
        <row r="159">
          <cell r="A159" t="str">
            <v>شركة الصفا ( اولاد عبد المقصود )</v>
          </cell>
          <cell r="B159" t="str">
            <v>MAS</v>
          </cell>
          <cell r="C159" t="str">
            <v>عميل - مورد</v>
          </cell>
          <cell r="D159" t="str">
            <v>Haddil Haron</v>
          </cell>
        </row>
        <row r="160">
          <cell r="A160" t="str">
            <v>شركه مكة - بيتزا ستاف</v>
          </cell>
          <cell r="C160" t="str">
            <v>عملاء اجل</v>
          </cell>
          <cell r="D160" t="str">
            <v>Haddil Haron</v>
          </cell>
        </row>
        <row r="161">
          <cell r="A161" t="str">
            <v>كافيه هدوء</v>
          </cell>
          <cell r="B161" t="str">
            <v>Horeca Smart</v>
          </cell>
          <cell r="C161" t="str">
            <v xml:space="preserve">عملاء كاش </v>
          </cell>
          <cell r="D161" t="str">
            <v>Lames Magdy</v>
          </cell>
        </row>
        <row r="162">
          <cell r="A162" t="str">
            <v>مخبز نصير</v>
          </cell>
          <cell r="B162" t="str">
            <v>MAS</v>
          </cell>
          <cell r="C162" t="str">
            <v>عملاء اجل</v>
          </cell>
          <cell r="D162" t="str">
            <v>Haddil Haron</v>
          </cell>
        </row>
        <row r="163">
          <cell r="A163" t="str">
            <v>مطعم حماده القص</v>
          </cell>
          <cell r="B163" t="str">
            <v>Horeca Smart</v>
          </cell>
          <cell r="C163" t="str">
            <v xml:space="preserve">عملاء كاش </v>
          </cell>
          <cell r="D163" t="str">
            <v>Naden Amgad</v>
          </cell>
        </row>
        <row r="164">
          <cell r="A164" t="str">
            <v>مطعم كشريتو</v>
          </cell>
          <cell r="B164" t="str">
            <v>Horeca Smart</v>
          </cell>
          <cell r="C164" t="str">
            <v xml:space="preserve">عملاء كاش </v>
          </cell>
          <cell r="D164" t="str">
            <v>Naden Amgad</v>
          </cell>
        </row>
        <row r="165">
          <cell r="A165" t="str">
            <v>Fanz Club Cafe&amp;Restaurant</v>
          </cell>
          <cell r="B165" t="str">
            <v>Horeca Smart</v>
          </cell>
          <cell r="C165" t="str">
            <v xml:space="preserve">عملاء كاش </v>
          </cell>
          <cell r="D165" t="str">
            <v>Naden Amgad</v>
          </cell>
        </row>
        <row r="166">
          <cell r="A166" t="str">
            <v>Loaded</v>
          </cell>
          <cell r="B166" t="str">
            <v>Horeca Smart</v>
          </cell>
          <cell r="C166" t="str">
            <v xml:space="preserve">عملاء كاش </v>
          </cell>
          <cell r="D166" t="str">
            <v>Lames Magdy</v>
          </cell>
        </row>
        <row r="167">
          <cell r="A167" t="str">
            <v>The Chocolate</v>
          </cell>
          <cell r="B167" t="str">
            <v>Horeca Smart</v>
          </cell>
          <cell r="C167" t="str">
            <v xml:space="preserve">عملاء كاش </v>
          </cell>
          <cell r="D167" t="str">
            <v>Lames Magdy</v>
          </cell>
        </row>
        <row r="168">
          <cell r="A168" t="str">
            <v>محاشى هب</v>
          </cell>
          <cell r="B168" t="str">
            <v>Horeca Smart</v>
          </cell>
          <cell r="C168" t="str">
            <v xml:space="preserve">عملاء كاش </v>
          </cell>
          <cell r="D168" t="str">
            <v>Reham Maher</v>
          </cell>
        </row>
        <row r="169">
          <cell r="A169" t="str">
            <v>نيو المهندس</v>
          </cell>
          <cell r="B169" t="str">
            <v>Horeca Smart</v>
          </cell>
          <cell r="C169" t="str">
            <v xml:space="preserve">عملاء كاش </v>
          </cell>
          <cell r="D169" t="str">
            <v>Donia Khaled</v>
          </cell>
        </row>
        <row r="170">
          <cell r="A170" t="str">
            <v>Dark Solutions Company</v>
          </cell>
          <cell r="B170" t="str">
            <v>Horeca Smart</v>
          </cell>
          <cell r="C170" t="str">
            <v xml:space="preserve">عملاء كاش </v>
          </cell>
          <cell r="D170" t="str">
            <v>Mona Mohamed</v>
          </cell>
        </row>
        <row r="171">
          <cell r="A171" t="str">
            <v>Hassan Restaurant</v>
          </cell>
          <cell r="B171" t="str">
            <v>Horeca Smart</v>
          </cell>
          <cell r="C171" t="str">
            <v xml:space="preserve">عملاء كاش </v>
          </cell>
          <cell r="D171" t="str">
            <v>Naden Amgad</v>
          </cell>
        </row>
        <row r="172">
          <cell r="A172" t="str">
            <v>Movenpick Cafe</v>
          </cell>
          <cell r="B172" t="str">
            <v>Horeca Smart</v>
          </cell>
          <cell r="C172" t="str">
            <v xml:space="preserve">عملاء كاش </v>
          </cell>
          <cell r="D172" t="str">
            <v>Lames Magdy</v>
          </cell>
        </row>
        <row r="173">
          <cell r="A173" t="str">
            <v>Opith Cafe</v>
          </cell>
          <cell r="B173" t="str">
            <v>Horeca Smart</v>
          </cell>
          <cell r="C173" t="str">
            <v xml:space="preserve">عملاء كاش </v>
          </cell>
          <cell r="D173" t="str">
            <v>Reham Maher</v>
          </cell>
        </row>
        <row r="174">
          <cell r="A174" t="str">
            <v>استارت تراك للتوريدات</v>
          </cell>
          <cell r="B174" t="str">
            <v>Horeca Smart</v>
          </cell>
          <cell r="C174" t="str">
            <v xml:space="preserve">عملاء كاش </v>
          </cell>
          <cell r="D174" t="str">
            <v>Mona Mohamed</v>
          </cell>
        </row>
        <row r="175">
          <cell r="A175" t="str">
            <v>بيتزا الامين</v>
          </cell>
          <cell r="B175" t="str">
            <v>Horeca Smart</v>
          </cell>
          <cell r="C175" t="str">
            <v xml:space="preserve">عملاء كاش </v>
          </cell>
          <cell r="D175" t="str">
            <v>Reham Maher</v>
          </cell>
        </row>
        <row r="176">
          <cell r="A176" t="str">
            <v>حلواني الشيبي</v>
          </cell>
          <cell r="B176" t="str">
            <v>Horeca Smart</v>
          </cell>
          <cell r="C176" t="str">
            <v xml:space="preserve">عملاء كاش </v>
          </cell>
          <cell r="D176" t="str">
            <v>Mona Mohamed</v>
          </cell>
        </row>
        <row r="177">
          <cell r="A177" t="str">
            <v>حلواني طيبه</v>
          </cell>
          <cell r="B177" t="str">
            <v>Horeca Smart</v>
          </cell>
          <cell r="C177" t="str">
            <v xml:space="preserve">عملاء كاش </v>
          </cell>
          <cell r="D177" t="str">
            <v>Mona Mohamed</v>
          </cell>
        </row>
        <row r="178">
          <cell r="A178" t="str">
            <v>سفرانو</v>
          </cell>
          <cell r="B178" t="str">
            <v>MAS</v>
          </cell>
          <cell r="C178" t="str">
            <v xml:space="preserve">عملاء كاش </v>
          </cell>
          <cell r="D178" t="str">
            <v>Haddil Haron</v>
          </cell>
        </row>
        <row r="179">
          <cell r="A179" t="str">
            <v>كافيه بن أثينا</v>
          </cell>
          <cell r="B179" t="str">
            <v>Horeca Smart</v>
          </cell>
          <cell r="C179" t="str">
            <v xml:space="preserve">عملاء كاش </v>
          </cell>
          <cell r="D179" t="str">
            <v>Donia Khaled</v>
          </cell>
        </row>
        <row r="180">
          <cell r="A180" t="str">
            <v>لايف سناكس للتصنيع</v>
          </cell>
          <cell r="B180" t="str">
            <v>Horeca Smart</v>
          </cell>
          <cell r="C180" t="str">
            <v xml:space="preserve">عملاء كاش </v>
          </cell>
          <cell r="D180" t="str">
            <v>Mona Mohamed</v>
          </cell>
        </row>
        <row r="181">
          <cell r="A181" t="str">
            <v>ماندرين قويدر</v>
          </cell>
          <cell r="B181" t="str">
            <v>MAS</v>
          </cell>
          <cell r="C181" t="str">
            <v>عملاء اجل</v>
          </cell>
          <cell r="D181" t="str">
            <v>Haddil Haron</v>
          </cell>
        </row>
        <row r="182">
          <cell r="A182" t="str">
            <v>مطعم زيكو</v>
          </cell>
          <cell r="B182" t="str">
            <v>Horeca Smart</v>
          </cell>
          <cell r="C182" t="str">
            <v xml:space="preserve">عملاء كاش </v>
          </cell>
          <cell r="D182" t="str">
            <v>Reham Maher</v>
          </cell>
        </row>
        <row r="183">
          <cell r="A183" t="str">
            <v>Delicieuse</v>
          </cell>
          <cell r="B183" t="str">
            <v>Horeca Smart</v>
          </cell>
          <cell r="C183" t="str">
            <v xml:space="preserve">عملاء كاش </v>
          </cell>
          <cell r="D183" t="str">
            <v>Mona Mohamed</v>
          </cell>
        </row>
        <row r="184">
          <cell r="A184" t="str">
            <v>Strip</v>
          </cell>
          <cell r="B184" t="str">
            <v>Horeca Smart</v>
          </cell>
          <cell r="C184" t="str">
            <v xml:space="preserve">عملاء كاش </v>
          </cell>
          <cell r="D184" t="str">
            <v>Reham Maher</v>
          </cell>
        </row>
        <row r="185">
          <cell r="A185" t="str">
            <v>Yaya</v>
          </cell>
          <cell r="B185" t="str">
            <v>Horeca Smart</v>
          </cell>
          <cell r="C185" t="str">
            <v>عملاء اجل</v>
          </cell>
          <cell r="D185" t="str">
            <v>Lames Magdy</v>
          </cell>
        </row>
        <row r="186">
          <cell r="A186" t="str">
            <v>امداد برو</v>
          </cell>
          <cell r="B186" t="str">
            <v>MAS</v>
          </cell>
          <cell r="C186" t="str">
            <v xml:space="preserve">عملاء كاش </v>
          </cell>
          <cell r="D186" t="str">
            <v>Haddil Haron</v>
          </cell>
        </row>
        <row r="187">
          <cell r="A187" t="str">
            <v>حلواني العبد</v>
          </cell>
          <cell r="B187" t="str">
            <v>MAS</v>
          </cell>
          <cell r="C187" t="str">
            <v>عملاء اجل</v>
          </cell>
          <cell r="D187" t="str">
            <v>Haddil Haron</v>
          </cell>
        </row>
        <row r="188">
          <cell r="A188" t="str">
            <v>ديليزا جيلاتو</v>
          </cell>
          <cell r="B188" t="str">
            <v>Horeca Smart</v>
          </cell>
          <cell r="C188" t="str">
            <v xml:space="preserve">عملاء كاش </v>
          </cell>
          <cell r="D188" t="str">
            <v>Mona Mohamed</v>
          </cell>
        </row>
        <row r="189">
          <cell r="A189" t="str">
            <v>سعيد الصعيدى</v>
          </cell>
          <cell r="B189" t="str">
            <v>Horeca Smart</v>
          </cell>
          <cell r="C189" t="str">
            <v xml:space="preserve">عملاء كاش </v>
          </cell>
          <cell r="D189" t="str">
            <v>Mona Mohamed</v>
          </cell>
        </row>
        <row r="190">
          <cell r="A190" t="str">
            <v>سمارت فودز (عميل - مورد)</v>
          </cell>
          <cell r="B190" t="str">
            <v>MAS</v>
          </cell>
          <cell r="C190" t="str">
            <v>عميل - مورد</v>
          </cell>
          <cell r="D190" t="str">
            <v>Haddil Haron</v>
          </cell>
        </row>
        <row r="191">
          <cell r="A191" t="str">
            <v>شركه الباثيو</v>
          </cell>
          <cell r="B191" t="str">
            <v>Horeca Smart</v>
          </cell>
          <cell r="C191" t="str">
            <v xml:space="preserve">عملاء كاش </v>
          </cell>
          <cell r="D191" t="str">
            <v>Reham Maher</v>
          </cell>
        </row>
        <row r="192">
          <cell r="A192" t="str">
            <v>عصائر فرغلي (قسم )</v>
          </cell>
          <cell r="B192" t="str">
            <v>Horeca Smart</v>
          </cell>
          <cell r="C192" t="str">
            <v xml:space="preserve">عملاء كاش </v>
          </cell>
          <cell r="D192" t="str">
            <v>Naden Amgad</v>
          </cell>
        </row>
        <row r="193">
          <cell r="A193" t="str">
            <v>كافيه ومطعم جومارو</v>
          </cell>
          <cell r="B193" t="str">
            <v>Horeca Smart</v>
          </cell>
          <cell r="C193" t="str">
            <v xml:space="preserve">عملاء كاش </v>
          </cell>
          <cell r="D193" t="str">
            <v>Lames Magdy</v>
          </cell>
        </row>
        <row r="194">
          <cell r="A194" t="str">
            <v>مركز صيانة المتحدة السلام</v>
          </cell>
          <cell r="B194" t="str">
            <v>Horeca Smart</v>
          </cell>
          <cell r="C194" t="str">
            <v xml:space="preserve">عملاء كاش </v>
          </cell>
          <cell r="D194" t="str">
            <v>Reham Maher</v>
          </cell>
        </row>
        <row r="195">
          <cell r="A195" t="str">
            <v>KOKANA</v>
          </cell>
          <cell r="B195" t="str">
            <v>Horeca Smart</v>
          </cell>
          <cell r="C195" t="str">
            <v xml:space="preserve">عملاء كاش </v>
          </cell>
          <cell r="D195" t="str">
            <v>Lames Magdy</v>
          </cell>
        </row>
        <row r="196">
          <cell r="A196" t="str">
            <v>Mixo Juice</v>
          </cell>
          <cell r="B196" t="str">
            <v>Horeca Smart</v>
          </cell>
          <cell r="C196" t="str">
            <v xml:space="preserve">عملاء كاش </v>
          </cell>
          <cell r="D196" t="str">
            <v>Reham Maher</v>
          </cell>
        </row>
        <row r="197">
          <cell r="A197" t="str">
            <v>Nounette</v>
          </cell>
          <cell r="B197" t="str">
            <v>Horeca Smart</v>
          </cell>
          <cell r="C197" t="str">
            <v xml:space="preserve">عملاء كاش </v>
          </cell>
          <cell r="D197" t="str">
            <v>Lames Magdy</v>
          </cell>
        </row>
        <row r="198">
          <cell r="A198" t="str">
            <v>Panda&amp;walk Restaurant</v>
          </cell>
          <cell r="B198" t="str">
            <v>Horeca Smart</v>
          </cell>
          <cell r="C198" t="str">
            <v xml:space="preserve">عملاء كاش </v>
          </cell>
          <cell r="D198" t="str">
            <v>Lames Magdy</v>
          </cell>
        </row>
        <row r="199">
          <cell r="A199" t="str">
            <v>Tata Batata</v>
          </cell>
          <cell r="B199" t="str">
            <v>Horeca Smart</v>
          </cell>
          <cell r="C199" t="str">
            <v xml:space="preserve">عملاء كاش </v>
          </cell>
          <cell r="D199" t="str">
            <v>Lames Magdy</v>
          </cell>
        </row>
        <row r="200">
          <cell r="A200" t="str">
            <v>cavallo</v>
          </cell>
          <cell r="B200" t="str">
            <v>Horeca Smart</v>
          </cell>
          <cell r="C200" t="str">
            <v xml:space="preserve">عملاء كاش </v>
          </cell>
          <cell r="D200" t="str">
            <v>Donia Khaled</v>
          </cell>
        </row>
        <row r="201">
          <cell r="A201" t="str">
            <v>sweet lu</v>
          </cell>
          <cell r="B201" t="str">
            <v>Horeca Smart</v>
          </cell>
          <cell r="C201" t="str">
            <v xml:space="preserve">عملاء كاش </v>
          </cell>
          <cell r="D201" t="str">
            <v>Naden Amgad</v>
          </cell>
        </row>
        <row r="202">
          <cell r="A202" t="str">
            <v>أكلة حكاية</v>
          </cell>
          <cell r="B202" t="str">
            <v>Horeca Smart</v>
          </cell>
          <cell r="C202" t="str">
            <v xml:space="preserve">عملاء كاش </v>
          </cell>
          <cell r="D202" t="str">
            <v>Lames Magdy</v>
          </cell>
        </row>
        <row r="203">
          <cell r="A203" t="str">
            <v>أوز سيلار-OS CELLAR</v>
          </cell>
          <cell r="B203" t="str">
            <v>Horeca Smart</v>
          </cell>
          <cell r="C203" t="str">
            <v>عملاء اجل</v>
          </cell>
          <cell r="D203" t="str">
            <v>Mona Mohamed</v>
          </cell>
        </row>
        <row r="204">
          <cell r="A204" t="str">
            <v>اسماك حمو</v>
          </cell>
          <cell r="B204" t="str">
            <v>Horeca Smart</v>
          </cell>
          <cell r="C204" t="str">
            <v xml:space="preserve">عملاء كاش </v>
          </cell>
          <cell r="D204" t="str">
            <v>Lames Magdy</v>
          </cell>
        </row>
        <row r="205">
          <cell r="A205" t="str">
            <v>سوشي سبوت</v>
          </cell>
          <cell r="B205" t="str">
            <v>Horeca Smart</v>
          </cell>
          <cell r="C205" t="str">
            <v xml:space="preserve">عملاء كاش </v>
          </cell>
          <cell r="D205" t="str">
            <v>Shorouk khaled</v>
          </cell>
        </row>
        <row r="206">
          <cell r="A206" t="str">
            <v>شركة الهادي للتوريدات</v>
          </cell>
          <cell r="B206" t="str">
            <v>Horeca Smart</v>
          </cell>
          <cell r="C206" t="str">
            <v xml:space="preserve">عملاء كاش </v>
          </cell>
          <cell r="D206" t="str">
            <v>Naden Amgad</v>
          </cell>
        </row>
        <row r="207">
          <cell r="A207" t="str">
            <v>صديق</v>
          </cell>
          <cell r="B207" t="str">
            <v>MAS</v>
          </cell>
          <cell r="C207" t="str">
            <v xml:space="preserve">عملاء كاش </v>
          </cell>
          <cell r="D207" t="str">
            <v>Amgad Ahmed</v>
          </cell>
        </row>
        <row r="208">
          <cell r="A208" t="str">
            <v>لاكورفا للتوريدات العمومية</v>
          </cell>
          <cell r="B208" t="str">
            <v>Horeca Smart</v>
          </cell>
          <cell r="C208" t="str">
            <v xml:space="preserve">عملاء كاش </v>
          </cell>
          <cell r="D208" t="str">
            <v>Mona Mohamed</v>
          </cell>
        </row>
        <row r="209">
          <cell r="A209" t="str">
            <v>مرهت</v>
          </cell>
          <cell r="B209" t="str">
            <v>MAS</v>
          </cell>
          <cell r="C209" t="str">
            <v xml:space="preserve">عملاء كاش </v>
          </cell>
          <cell r="D209" t="str">
            <v>Haddil Haron</v>
          </cell>
        </row>
        <row r="210">
          <cell r="A210" t="str">
            <v>مونجينى</v>
          </cell>
          <cell r="B210" t="str">
            <v>MAS</v>
          </cell>
          <cell r="C210" t="str">
            <v>عملاء اجل</v>
          </cell>
          <cell r="D210" t="str">
            <v>Haddil Haron</v>
          </cell>
        </row>
        <row r="211">
          <cell r="A211" t="str">
            <v>هوست ان لادارة المطاعم والفنادق</v>
          </cell>
          <cell r="B211" t="str">
            <v>MAS</v>
          </cell>
          <cell r="C211" t="str">
            <v xml:space="preserve">عملاء كاش </v>
          </cell>
          <cell r="D211" t="str">
            <v>Haddil Haron</v>
          </cell>
        </row>
        <row r="212">
          <cell r="A212" t="str">
            <v>Bonachi Lounge</v>
          </cell>
          <cell r="B212" t="str">
            <v>Horeca Smart</v>
          </cell>
          <cell r="C212" t="str">
            <v xml:space="preserve">عملاء كاش </v>
          </cell>
          <cell r="D212" t="str">
            <v>Lames Magdy</v>
          </cell>
        </row>
        <row r="213">
          <cell r="A213" t="str">
            <v>Cakerist</v>
          </cell>
          <cell r="B213" t="str">
            <v>Horeca Smart</v>
          </cell>
          <cell r="C213" t="str">
            <v xml:space="preserve">عملاء كاش </v>
          </cell>
          <cell r="D213" t="str">
            <v>Mona Mohamed</v>
          </cell>
        </row>
        <row r="214">
          <cell r="A214" t="str">
            <v>Six burgers</v>
          </cell>
          <cell r="B214" t="str">
            <v>Horeca Smart</v>
          </cell>
          <cell r="C214" t="str">
            <v xml:space="preserve">عملاء كاش </v>
          </cell>
          <cell r="D214" t="str">
            <v>Reham Maher</v>
          </cell>
        </row>
        <row r="215">
          <cell r="A215" t="str">
            <v>Three Dinner - Chefs Studio</v>
          </cell>
          <cell r="B215" t="str">
            <v>Horeca Smart</v>
          </cell>
          <cell r="C215" t="str">
            <v>عملاء اجل</v>
          </cell>
          <cell r="D215" t="str">
            <v>Reham Maher</v>
          </cell>
        </row>
        <row r="216">
          <cell r="A216" t="str">
            <v>Varanda</v>
          </cell>
          <cell r="B216" t="str">
            <v>Horeca Smart</v>
          </cell>
          <cell r="C216" t="str">
            <v xml:space="preserve">عملاء كاش </v>
          </cell>
          <cell r="D216" t="str">
            <v>Naden Amgad</v>
          </cell>
        </row>
        <row r="217">
          <cell r="A217" t="str">
            <v>أبومحرم للحلويات</v>
          </cell>
          <cell r="B217" t="str">
            <v>MAS</v>
          </cell>
          <cell r="C217" t="str">
            <v>عملاء اجل</v>
          </cell>
          <cell r="D217" t="str">
            <v>Haddil Haron</v>
          </cell>
        </row>
        <row r="218">
          <cell r="A218" t="str">
            <v>تشيكن كرسىي هين</v>
          </cell>
          <cell r="B218" t="str">
            <v>Horeca Smart</v>
          </cell>
          <cell r="C218" t="str">
            <v xml:space="preserve">عملاء كاش </v>
          </cell>
          <cell r="D218" t="str">
            <v>Lames Magdy</v>
          </cell>
        </row>
        <row r="219">
          <cell r="A219" t="str">
            <v>دانكن دوناتس</v>
          </cell>
          <cell r="B219" t="str">
            <v>MAS</v>
          </cell>
          <cell r="C219" t="str">
            <v>عملاء اجل</v>
          </cell>
          <cell r="D219" t="str">
            <v>Haddil Haron</v>
          </cell>
        </row>
        <row r="220">
          <cell r="A220" t="str">
            <v>ساليه سوكريه</v>
          </cell>
          <cell r="B220" t="str">
            <v>MAS</v>
          </cell>
          <cell r="C220" t="str">
            <v>عملاء اجل</v>
          </cell>
          <cell r="D220" t="str">
            <v>Haddil Haron</v>
          </cell>
        </row>
        <row r="221">
          <cell r="A221" t="str">
            <v>فطار وعشا</v>
          </cell>
          <cell r="B221" t="str">
            <v>Horeca Smart</v>
          </cell>
          <cell r="C221" t="str">
            <v xml:space="preserve">عملاء كاش </v>
          </cell>
          <cell r="D221" t="str">
            <v>Reham Maher</v>
          </cell>
        </row>
        <row r="222">
          <cell r="A222" t="str">
            <v>كافيه ومطعم طرابلس</v>
          </cell>
          <cell r="B222" t="str">
            <v>Horeca Smart</v>
          </cell>
          <cell r="C222" t="str">
            <v xml:space="preserve">عملاء كاش </v>
          </cell>
          <cell r="D222" t="str">
            <v>Lames Magdy</v>
          </cell>
        </row>
        <row r="223">
          <cell r="A223" t="str">
            <v>كافيه ومطعم ميوش</v>
          </cell>
          <cell r="B223" t="str">
            <v>Horeca Smart</v>
          </cell>
          <cell r="C223" t="str">
            <v xml:space="preserve">عملاء كاش </v>
          </cell>
          <cell r="D223" t="str">
            <v>Donia Khaled</v>
          </cell>
        </row>
        <row r="224">
          <cell r="A224" t="str">
            <v>كالم داون</v>
          </cell>
          <cell r="B224" t="str">
            <v>Horeca Smart</v>
          </cell>
          <cell r="C224" t="str">
            <v xml:space="preserve">عملاء كاش </v>
          </cell>
          <cell r="D224" t="str">
            <v>Lames Magdy</v>
          </cell>
        </row>
        <row r="225">
          <cell r="A225" t="str">
            <v>مخبز كاندي</v>
          </cell>
          <cell r="B225" t="str">
            <v>Horeca Smart</v>
          </cell>
          <cell r="C225" t="str">
            <v>عملاء اجل</v>
          </cell>
          <cell r="D225" t="str">
            <v>Mona Mohamed</v>
          </cell>
        </row>
        <row r="226">
          <cell r="A226" t="str">
            <v>مصنع ميجا</v>
          </cell>
          <cell r="B226" t="str">
            <v>Horeca Smart</v>
          </cell>
          <cell r="C226" t="str">
            <v xml:space="preserve">عملاء كاش </v>
          </cell>
          <cell r="D226" t="str">
            <v>Mona Mohamed</v>
          </cell>
        </row>
        <row r="227">
          <cell r="A227" t="str">
            <v>مطعم بحر-الشروق</v>
          </cell>
          <cell r="B227" t="str">
            <v>Horeca Smart</v>
          </cell>
          <cell r="C227" t="str">
            <v xml:space="preserve">عملاء كاش </v>
          </cell>
          <cell r="D227" t="str">
            <v>Donia Khaled</v>
          </cell>
        </row>
        <row r="228">
          <cell r="A228" t="str">
            <v>مهراجا</v>
          </cell>
          <cell r="B228" t="str">
            <v>MAS</v>
          </cell>
          <cell r="C228" t="str">
            <v xml:space="preserve">عملاء كاش </v>
          </cell>
          <cell r="D228" t="str">
            <v>Haddil Haron</v>
          </cell>
        </row>
        <row r="229">
          <cell r="A229" t="str">
            <v>8back Burgers</v>
          </cell>
          <cell r="B229" t="str">
            <v>Horeca Smart</v>
          </cell>
          <cell r="C229" t="str">
            <v xml:space="preserve">عملاء كاش </v>
          </cell>
          <cell r="D229" t="str">
            <v>Lames Magdy</v>
          </cell>
        </row>
        <row r="230">
          <cell r="A230" t="str">
            <v>8back Burgers, 8back Burgers, المخزن - الماظه</v>
          </cell>
          <cell r="B230" t="str">
            <v>Horeca Smart</v>
          </cell>
          <cell r="C230" t="str">
            <v xml:space="preserve">عملاء كاش </v>
          </cell>
          <cell r="D230" t="str">
            <v>Lames Magdy</v>
          </cell>
        </row>
        <row r="231">
          <cell r="A231" t="str">
            <v>Brunch and Cake</v>
          </cell>
          <cell r="B231" t="str">
            <v>MAS</v>
          </cell>
          <cell r="C231" t="str">
            <v>متجمد</v>
          </cell>
          <cell r="D231" t="str">
            <v>Mona Mohamed</v>
          </cell>
        </row>
        <row r="232">
          <cell r="A232" t="str">
            <v>D.Cappuccino</v>
          </cell>
          <cell r="B232" t="str">
            <v>Horeca Smart</v>
          </cell>
          <cell r="C232" t="str">
            <v xml:space="preserve">عملاء كاش </v>
          </cell>
          <cell r="D232" t="str">
            <v>Reham Maher</v>
          </cell>
        </row>
        <row r="233">
          <cell r="A233" t="str">
            <v>Emkay Foods</v>
          </cell>
          <cell r="B233" t="str">
            <v>MAS</v>
          </cell>
          <cell r="C233" t="str">
            <v>عملاء اجل</v>
          </cell>
          <cell r="D233" t="str">
            <v>Haddil Haron</v>
          </cell>
        </row>
        <row r="234">
          <cell r="A234" t="str">
            <v>Ivory Coffee</v>
          </cell>
          <cell r="B234" t="str">
            <v>Horeca Smart</v>
          </cell>
          <cell r="C234" t="str">
            <v xml:space="preserve">عملاء كاش </v>
          </cell>
          <cell r="D234" t="str">
            <v>Naden Amgad</v>
          </cell>
        </row>
        <row r="235">
          <cell r="A235" t="str">
            <v>KOK CAFE</v>
          </cell>
          <cell r="B235" t="str">
            <v>Horeca Smart</v>
          </cell>
          <cell r="C235" t="str">
            <v xml:space="preserve">عملاء كاش </v>
          </cell>
          <cell r="D235" t="str">
            <v>Donia Khaled</v>
          </cell>
        </row>
        <row r="236">
          <cell r="A236" t="str">
            <v>Mad Shrimp</v>
          </cell>
          <cell r="C236" t="str">
            <v xml:space="preserve">عملاء كاش </v>
          </cell>
          <cell r="D236" t="str">
            <v>Mona Mohamed</v>
          </cell>
        </row>
        <row r="237">
          <cell r="A237" t="str">
            <v>Pancake</v>
          </cell>
          <cell r="B237" t="str">
            <v>Horeca Smart</v>
          </cell>
          <cell r="C237" t="str">
            <v xml:space="preserve">عملاء كاش </v>
          </cell>
          <cell r="D237" t="str">
            <v>Reham Maher</v>
          </cell>
        </row>
        <row r="238">
          <cell r="A238" t="str">
            <v>اي سي او لتجارة المواد الغذائية</v>
          </cell>
          <cell r="B238" t="str">
            <v>Horeca Smart</v>
          </cell>
          <cell r="C238" t="str">
            <v xml:space="preserve">عملاء كاش </v>
          </cell>
          <cell r="D238" t="str">
            <v>Donia Khaled</v>
          </cell>
        </row>
        <row r="239">
          <cell r="A239" t="str">
            <v>دار الضباط</v>
          </cell>
          <cell r="B239" t="str">
            <v>Horeca Smart</v>
          </cell>
          <cell r="C239" t="str">
            <v xml:space="preserve">عملاء كاش </v>
          </cell>
          <cell r="D239" t="str">
            <v>Reham Maher</v>
          </cell>
        </row>
        <row r="240">
          <cell r="A240" t="str">
            <v>دار لالة للصناعات الغذائية</v>
          </cell>
          <cell r="B240" t="str">
            <v>Horeca Smart</v>
          </cell>
          <cell r="C240" t="str">
            <v xml:space="preserve">عملاء كاش </v>
          </cell>
          <cell r="D240" t="str">
            <v>Lames Magdy</v>
          </cell>
        </row>
        <row r="241">
          <cell r="A241" t="str">
            <v>رغيف شاورما</v>
          </cell>
          <cell r="B241" t="str">
            <v>Horeca Smart</v>
          </cell>
          <cell r="C241" t="str">
            <v>عملاء اجل</v>
          </cell>
          <cell r="D241" t="str">
            <v>Naden Amgad</v>
          </cell>
        </row>
        <row r="242">
          <cell r="A242" t="str">
            <v>شركة الفهد للتجارة والتوزيع</v>
          </cell>
          <cell r="B242" t="str">
            <v>MAS</v>
          </cell>
          <cell r="C242" t="str">
            <v>عميل - مورد</v>
          </cell>
          <cell r="D242" t="str">
            <v>Haddil Haron</v>
          </cell>
        </row>
        <row r="243">
          <cell r="A243" t="str">
            <v>ضياء حسن الراشدين</v>
          </cell>
          <cell r="C243" t="str">
            <v xml:space="preserve">عملاء كاش </v>
          </cell>
          <cell r="D243" t="str">
            <v>Haddil Haron</v>
          </cell>
        </row>
        <row r="244">
          <cell r="A244" t="str">
            <v>مؤسسة مصر التجارية</v>
          </cell>
          <cell r="B244" t="str">
            <v>MAS</v>
          </cell>
          <cell r="C244" t="str">
            <v>عملاء اجل</v>
          </cell>
          <cell r="D244" t="str">
            <v>Haddil Haron</v>
          </cell>
        </row>
        <row r="245">
          <cell r="A245" t="str">
            <v>هولي جواك</v>
          </cell>
          <cell r="B245" t="str">
            <v>Horeca Smart</v>
          </cell>
          <cell r="C245" t="str">
            <v xml:space="preserve">عملاء كاش </v>
          </cell>
          <cell r="D245" t="str">
            <v>Mona Mohamed</v>
          </cell>
        </row>
        <row r="246">
          <cell r="A246" t="str">
            <v>Bubbles Cafe</v>
          </cell>
          <cell r="B246" t="str">
            <v>Horeca Smart</v>
          </cell>
          <cell r="C246" t="str">
            <v xml:space="preserve">عملاء كاش </v>
          </cell>
          <cell r="D246" t="str">
            <v>Naden Amgad</v>
          </cell>
        </row>
        <row r="247">
          <cell r="A247" t="str">
            <v>Horeca Smart Delta</v>
          </cell>
          <cell r="B247" t="str">
            <v>MAS</v>
          </cell>
          <cell r="C247" t="str">
            <v>عملاء اجل</v>
          </cell>
          <cell r="D247" t="str">
            <v>Amgad Ahmed</v>
          </cell>
        </row>
        <row r="248">
          <cell r="A248" t="str">
            <v>Vanilla Cafe&amp;Restaurant</v>
          </cell>
          <cell r="B248" t="str">
            <v>Horeca Smart</v>
          </cell>
          <cell r="C248" t="str">
            <v xml:space="preserve">عملاء كاش </v>
          </cell>
          <cell r="D248" t="str">
            <v>Lames Magdy</v>
          </cell>
        </row>
        <row r="249">
          <cell r="A249" t="str">
            <v>yuki cafe</v>
          </cell>
          <cell r="B249" t="str">
            <v>Horeca Smart</v>
          </cell>
          <cell r="C249" t="str">
            <v xml:space="preserve">عملاء كاش </v>
          </cell>
          <cell r="D249" t="str">
            <v>Reham Maher</v>
          </cell>
        </row>
        <row r="250">
          <cell r="A250" t="str">
            <v>الفتح - العبور</v>
          </cell>
          <cell r="B250" t="str">
            <v>MAS</v>
          </cell>
          <cell r="C250" t="str">
            <v>عملاء اجل</v>
          </cell>
          <cell r="D250" t="str">
            <v>Haddil Haron</v>
          </cell>
        </row>
        <row r="251">
          <cell r="A251" t="str">
            <v>حلواني creme</v>
          </cell>
          <cell r="B251" t="str">
            <v>MAS</v>
          </cell>
          <cell r="C251" t="str">
            <v>عملاء اجل</v>
          </cell>
          <cell r="D251" t="str">
            <v>Haddil Haron</v>
          </cell>
        </row>
        <row r="252">
          <cell r="A252" t="str">
            <v>سميحه</v>
          </cell>
          <cell r="B252" t="str">
            <v>MAS</v>
          </cell>
          <cell r="C252" t="str">
            <v xml:space="preserve">عملاء كاش </v>
          </cell>
          <cell r="D252" t="str">
            <v>Haddil Haron</v>
          </cell>
        </row>
        <row r="253">
          <cell r="A253" t="str">
            <v>شركة ثرتي نورث</v>
          </cell>
          <cell r="B253" t="str">
            <v>MAS</v>
          </cell>
          <cell r="C253" t="str">
            <v>عملاء اجل</v>
          </cell>
          <cell r="D253" t="str">
            <v>Haddil Haron</v>
          </cell>
        </row>
        <row r="254">
          <cell r="A254" t="str">
            <v>طلبية (عميل - مورد)</v>
          </cell>
          <cell r="B254" t="str">
            <v>MAS</v>
          </cell>
          <cell r="C254" t="str">
            <v>عميل - مورد</v>
          </cell>
          <cell r="D254" t="str">
            <v>Haddil Haron</v>
          </cell>
        </row>
        <row r="255">
          <cell r="A255" t="str">
            <v>عصائر ابناء سوهاج</v>
          </cell>
          <cell r="B255" t="str">
            <v>Horeca Smart</v>
          </cell>
          <cell r="C255" t="str">
            <v xml:space="preserve">عملاء كاش </v>
          </cell>
          <cell r="D255" t="str">
            <v>Lames Magdy</v>
          </cell>
        </row>
        <row r="256">
          <cell r="A256" t="str">
            <v>قهوة شاكر</v>
          </cell>
          <cell r="B256" t="str">
            <v>Horeca Smart</v>
          </cell>
          <cell r="C256" t="str">
            <v xml:space="preserve">عملاء كاش </v>
          </cell>
          <cell r="D256" t="str">
            <v>Mona Mohamed</v>
          </cell>
        </row>
        <row r="257">
          <cell r="A257" t="str">
            <v>كنيسة السيدة مريم العذراء و مارجرجس</v>
          </cell>
          <cell r="B257" t="str">
            <v>Horeca Smart</v>
          </cell>
          <cell r="C257" t="str">
            <v xml:space="preserve">عملاء كاش </v>
          </cell>
          <cell r="D257" t="str">
            <v>Lames Magdy</v>
          </cell>
        </row>
        <row r="258">
          <cell r="A258" t="str">
            <v>مايسترو برجر</v>
          </cell>
          <cell r="B258" t="str">
            <v>Horeca Smart</v>
          </cell>
          <cell r="C258" t="str">
            <v xml:space="preserve">عملاء كاش </v>
          </cell>
          <cell r="D258" t="str">
            <v>Naden Amgad</v>
          </cell>
        </row>
        <row r="259">
          <cell r="A259" t="str">
            <v>مطعم البركة - روض الفرج</v>
          </cell>
          <cell r="B259" t="str">
            <v>Horeca Smart</v>
          </cell>
          <cell r="C259" t="str">
            <v xml:space="preserve">عملاء كاش </v>
          </cell>
          <cell r="D259" t="str">
            <v>Reham Maher</v>
          </cell>
        </row>
        <row r="260">
          <cell r="A260" t="str">
            <v>نووك نووك تشويز</v>
          </cell>
          <cell r="B260" t="str">
            <v>MAS</v>
          </cell>
          <cell r="C260" t="str">
            <v xml:space="preserve">عملاء كاش </v>
          </cell>
          <cell r="D260" t="str">
            <v>Haddil Haron</v>
          </cell>
        </row>
        <row r="261">
          <cell r="A261" t="str">
            <v>هم هم</v>
          </cell>
          <cell r="B261" t="str">
            <v>Horeca Smart</v>
          </cell>
          <cell r="C261" t="str">
            <v xml:space="preserve">عملاء كاش </v>
          </cell>
          <cell r="D261" t="str">
            <v>Mona Mohamed</v>
          </cell>
        </row>
        <row r="262">
          <cell r="A262" t="str">
            <v>AbdElrhaman Farrag</v>
          </cell>
          <cell r="C262" t="str">
            <v>موظفين</v>
          </cell>
          <cell r="D262" t="str">
            <v>Administrator</v>
          </cell>
        </row>
        <row r="263">
          <cell r="A263" t="str">
            <v>Antica Cafe</v>
          </cell>
          <cell r="B263" t="str">
            <v>Horeca Smart</v>
          </cell>
          <cell r="C263" t="str">
            <v xml:space="preserve">عملاء كاش </v>
          </cell>
          <cell r="D263" t="str">
            <v>Lames Magdy</v>
          </cell>
        </row>
        <row r="264">
          <cell r="A264" t="str">
            <v>Bouza &amp; Barrad</v>
          </cell>
          <cell r="B264" t="str">
            <v>Horeca Smart</v>
          </cell>
          <cell r="C264" t="str">
            <v xml:space="preserve">عملاء كاش </v>
          </cell>
          <cell r="D264" t="str">
            <v>Reham Maher</v>
          </cell>
        </row>
        <row r="265">
          <cell r="A265" t="str">
            <v>Dess-Tiny</v>
          </cell>
          <cell r="B265" t="str">
            <v>Horeca Smart</v>
          </cell>
          <cell r="C265" t="str">
            <v xml:space="preserve">عملاء كاش </v>
          </cell>
          <cell r="D265" t="str">
            <v>Donia Khaled</v>
          </cell>
        </row>
        <row r="266">
          <cell r="A266" t="str">
            <v>KAFE !N</v>
          </cell>
          <cell r="B266" t="str">
            <v>Horeca Smart</v>
          </cell>
          <cell r="C266" t="str">
            <v xml:space="preserve">عملاء كاش </v>
          </cell>
          <cell r="D266" t="str">
            <v>Lames Magdy</v>
          </cell>
        </row>
        <row r="267">
          <cell r="A267" t="str">
            <v>Lamuda</v>
          </cell>
          <cell r="B267" t="str">
            <v>Horeca Smart</v>
          </cell>
          <cell r="C267" t="str">
            <v xml:space="preserve">عملاء كاش </v>
          </cell>
          <cell r="D267" t="str">
            <v>Lames Magdy</v>
          </cell>
        </row>
        <row r="268">
          <cell r="A268" t="str">
            <v>Meansun</v>
          </cell>
          <cell r="B268" t="str">
            <v>MAS</v>
          </cell>
          <cell r="C268" t="str">
            <v xml:space="preserve">عملاء كاش </v>
          </cell>
          <cell r="D268" t="str">
            <v>Haddil Haron</v>
          </cell>
        </row>
        <row r="269">
          <cell r="A269" t="str">
            <v>Sphinx Smash Burger</v>
          </cell>
          <cell r="B269" t="str">
            <v>Horeca Smart</v>
          </cell>
          <cell r="C269" t="str">
            <v xml:space="preserve">عملاء كاش </v>
          </cell>
          <cell r="D269" t="str">
            <v>Naden Amgad</v>
          </cell>
        </row>
        <row r="270">
          <cell r="A270" t="str">
            <v>Waffly's restaurant</v>
          </cell>
          <cell r="B270" t="str">
            <v>Horeca Smart</v>
          </cell>
          <cell r="C270" t="str">
            <v xml:space="preserve">عملاء كاش </v>
          </cell>
          <cell r="D270" t="str">
            <v>Naden Amgad</v>
          </cell>
        </row>
        <row r="271">
          <cell r="A271" t="str">
            <v>velvet</v>
          </cell>
          <cell r="B271" t="str">
            <v>Horeca Smart</v>
          </cell>
          <cell r="C271" t="str">
            <v xml:space="preserve">عملاء كاش </v>
          </cell>
          <cell r="D271" t="str">
            <v>Lames Magdy</v>
          </cell>
        </row>
        <row r="272">
          <cell r="A272" t="str">
            <v>بابا دودچ</v>
          </cell>
          <cell r="B272" t="str">
            <v>Horeca Smart</v>
          </cell>
          <cell r="C272" t="str">
            <v xml:space="preserve">عملاء كاش </v>
          </cell>
          <cell r="D272" t="str">
            <v>Donia Khaled</v>
          </cell>
        </row>
        <row r="273">
          <cell r="A273" t="str">
            <v>شركة انفينتى تك للحلول التكنولوجية</v>
          </cell>
          <cell r="B273" t="str">
            <v>Horeca Smart</v>
          </cell>
          <cell r="C273" t="str">
            <v xml:space="preserve">عملاء كاش </v>
          </cell>
          <cell r="D273" t="str">
            <v>Reham Maher</v>
          </cell>
        </row>
        <row r="274">
          <cell r="A274" t="str">
            <v>شركة جراند لتعبئة وتجارة المواد الغذائية</v>
          </cell>
          <cell r="B274" t="str">
            <v>MAS</v>
          </cell>
          <cell r="C274" t="str">
            <v>عملاء اجل</v>
          </cell>
          <cell r="D274" t="str">
            <v>Haddil Haron</v>
          </cell>
        </row>
        <row r="275">
          <cell r="A275" t="str">
            <v>شركة وان اوك كاترينج</v>
          </cell>
          <cell r="B275" t="str">
            <v>Horeca Smart</v>
          </cell>
          <cell r="C275" t="str">
            <v xml:space="preserve">عملاء كاش </v>
          </cell>
          <cell r="D275" t="str">
            <v>Naden Amgad</v>
          </cell>
        </row>
        <row r="276">
          <cell r="A276" t="str">
            <v>عالم الجمبري</v>
          </cell>
          <cell r="B276" t="str">
            <v>Horeca Smart</v>
          </cell>
          <cell r="C276" t="str">
            <v xml:space="preserve">عملاء كاش </v>
          </cell>
          <cell r="D276" t="str">
            <v>Lames Magdy</v>
          </cell>
        </row>
        <row r="277">
          <cell r="A277" t="str">
            <v>عبد ربه</v>
          </cell>
          <cell r="B277" t="str">
            <v>MAS</v>
          </cell>
          <cell r="C277" t="str">
            <v>عملاء اجل</v>
          </cell>
          <cell r="D277" t="str">
            <v>Haddil Haron</v>
          </cell>
        </row>
        <row r="278">
          <cell r="A278" t="str">
            <v>فينيكس للتجارة ش ذ</v>
          </cell>
          <cell r="C278" t="str">
            <v>عميل - مورد</v>
          </cell>
          <cell r="D278" t="str">
            <v>Amgad Ahmed</v>
          </cell>
        </row>
        <row r="279">
          <cell r="A279" t="str">
            <v>كافيه بوشية</v>
          </cell>
          <cell r="B279" t="str">
            <v>Horeca Smart</v>
          </cell>
          <cell r="C279" t="str">
            <v xml:space="preserve">عملاء كاش </v>
          </cell>
          <cell r="D279" t="str">
            <v>Reham Maher</v>
          </cell>
        </row>
        <row r="280">
          <cell r="A280" t="str">
            <v>كافيه سيدني</v>
          </cell>
          <cell r="B280" t="str">
            <v>Horeca Smart</v>
          </cell>
          <cell r="C280" t="str">
            <v xml:space="preserve">عملاء كاش </v>
          </cell>
          <cell r="D280" t="str">
            <v>Naden Amgad</v>
          </cell>
        </row>
        <row r="281">
          <cell r="A281" t="str">
            <v>ماس ديستربيوشن (عميل - مورد)</v>
          </cell>
          <cell r="B281" t="str">
            <v>MAS</v>
          </cell>
          <cell r="C281" t="str">
            <v>عميل - مورد</v>
          </cell>
          <cell r="D281" t="str">
            <v>Haddil Haron</v>
          </cell>
        </row>
        <row r="282">
          <cell r="A282" t="str">
            <v>3BOYS Supplies Company</v>
          </cell>
          <cell r="B282" t="str">
            <v>Horeca Smart</v>
          </cell>
          <cell r="C282" t="str">
            <v xml:space="preserve">عملاء كاش </v>
          </cell>
          <cell r="D282" t="str">
            <v>Reham Maher</v>
          </cell>
        </row>
        <row r="283">
          <cell r="A283" t="str">
            <v>Art Of Dining</v>
          </cell>
          <cell r="B283" t="str">
            <v>Horeca Smart</v>
          </cell>
          <cell r="C283" t="str">
            <v xml:space="preserve">عملاء كاش </v>
          </cell>
          <cell r="D283" t="str">
            <v>Mona Mohamed</v>
          </cell>
        </row>
        <row r="284">
          <cell r="A284" t="str">
            <v>Bomba</v>
          </cell>
          <cell r="B284" t="str">
            <v>Horeca Smart</v>
          </cell>
          <cell r="C284" t="str">
            <v xml:space="preserve">عملاء كاش </v>
          </cell>
          <cell r="D284" t="str">
            <v>Reham Maher</v>
          </cell>
        </row>
        <row r="285">
          <cell r="A285" t="str">
            <v>Daily Sips Coffee</v>
          </cell>
          <cell r="B285" t="str">
            <v>Horeca Smart</v>
          </cell>
          <cell r="C285" t="str">
            <v xml:space="preserve">عملاء كاش </v>
          </cell>
          <cell r="D285" t="str">
            <v>Naden Amgad</v>
          </cell>
        </row>
        <row r="286">
          <cell r="A286" t="str">
            <v>Green Island</v>
          </cell>
          <cell r="B286" t="str">
            <v>Horeca Smart</v>
          </cell>
          <cell r="C286" t="str">
            <v xml:space="preserve">عملاء كاش </v>
          </cell>
          <cell r="D286" t="str">
            <v>Mona Mohamed</v>
          </cell>
        </row>
        <row r="287">
          <cell r="A287" t="str">
            <v>Mini Desserts</v>
          </cell>
          <cell r="B287" t="str">
            <v>Horeca Smart</v>
          </cell>
          <cell r="C287" t="str">
            <v xml:space="preserve">عملاء كاش </v>
          </cell>
          <cell r="D287" t="str">
            <v>Mona Mohamed</v>
          </cell>
        </row>
        <row r="288">
          <cell r="A288" t="str">
            <v>Motor sprots HUB</v>
          </cell>
          <cell r="B288" t="str">
            <v>Horeca Smart</v>
          </cell>
          <cell r="C288" t="str">
            <v xml:space="preserve">عملاء كاش </v>
          </cell>
          <cell r="D288" t="str">
            <v>Naden Amgad</v>
          </cell>
        </row>
        <row r="289">
          <cell r="A289" t="str">
            <v>Pizza Master</v>
          </cell>
          <cell r="B289" t="str">
            <v>Horeca Smart</v>
          </cell>
          <cell r="C289" t="str">
            <v>عملاء اجل</v>
          </cell>
          <cell r="D289" t="str">
            <v>Mona Mohamed</v>
          </cell>
        </row>
        <row r="290">
          <cell r="A290" t="str">
            <v>RED CLUCK</v>
          </cell>
          <cell r="B290" t="str">
            <v>Horeca Smart</v>
          </cell>
          <cell r="C290" t="str">
            <v xml:space="preserve">عملاء كاش </v>
          </cell>
          <cell r="D290" t="str">
            <v>Mona Mohamed</v>
          </cell>
        </row>
        <row r="291">
          <cell r="A291" t="str">
            <v>Sokyo Restaurant</v>
          </cell>
          <cell r="B291" t="str">
            <v>Horeca Smart</v>
          </cell>
          <cell r="C291" t="str">
            <v xml:space="preserve">عملاء كاش </v>
          </cell>
          <cell r="D291" t="str">
            <v>Mona Mohamed</v>
          </cell>
        </row>
        <row r="292">
          <cell r="A292" t="str">
            <v>Studio 98 Hospitality</v>
          </cell>
          <cell r="B292" t="str">
            <v>Horeca Smart</v>
          </cell>
          <cell r="C292" t="str">
            <v xml:space="preserve">عملاء كاش </v>
          </cell>
          <cell r="D292" t="str">
            <v>Shorouk khaled</v>
          </cell>
        </row>
        <row r="293">
          <cell r="A293" t="str">
            <v>karvin massala</v>
          </cell>
          <cell r="B293" t="str">
            <v>MAS</v>
          </cell>
          <cell r="C293" t="str">
            <v xml:space="preserve">عملاء كاش </v>
          </cell>
          <cell r="D293" t="str">
            <v>Haddil Haron</v>
          </cell>
        </row>
        <row r="294">
          <cell r="A294" t="str">
            <v>le3ba cafe</v>
          </cell>
          <cell r="B294" t="str">
            <v>Horeca Smart</v>
          </cell>
          <cell r="C294" t="str">
            <v xml:space="preserve">عملاء كاش </v>
          </cell>
          <cell r="D294" t="str">
            <v>Reham Maher</v>
          </cell>
        </row>
        <row r="295">
          <cell r="A295" t="str">
            <v>yukl</v>
          </cell>
          <cell r="B295" t="str">
            <v>Horeca Smart</v>
          </cell>
          <cell r="C295" t="str">
            <v xml:space="preserve">عملاء كاش </v>
          </cell>
          <cell r="D295" t="str">
            <v>Mona Mohamed</v>
          </cell>
        </row>
        <row r="296">
          <cell r="A296" t="str">
            <v>تبرعات</v>
          </cell>
          <cell r="B296" t="str">
            <v>MAS</v>
          </cell>
          <cell r="C296" t="str">
            <v xml:space="preserve">عملاء كاش </v>
          </cell>
          <cell r="D296" t="str">
            <v>Haddil Haron</v>
          </cell>
        </row>
        <row r="297">
          <cell r="A297" t="str">
            <v>ثري اتش</v>
          </cell>
          <cell r="C297" t="str">
            <v xml:space="preserve">موردين اجل </v>
          </cell>
          <cell r="D297" t="str">
            <v>Amgad Ahmed</v>
          </cell>
        </row>
        <row r="298">
          <cell r="A298" t="str">
            <v>جمعية محبي الزكاة</v>
          </cell>
          <cell r="B298" t="str">
            <v>MAS</v>
          </cell>
          <cell r="C298" t="str">
            <v>عملاء اجل</v>
          </cell>
          <cell r="D298" t="str">
            <v>Haddil Haron</v>
          </cell>
        </row>
        <row r="299">
          <cell r="A299" t="str">
            <v>جولدن أير جير كاترنج</v>
          </cell>
          <cell r="B299" t="str">
            <v>Horeca Smart</v>
          </cell>
          <cell r="C299" t="str">
            <v xml:space="preserve">عملاء كاش </v>
          </cell>
          <cell r="D299" t="str">
            <v>Mona Mohamed</v>
          </cell>
        </row>
        <row r="300">
          <cell r="A300" t="str">
            <v>دايت هب</v>
          </cell>
          <cell r="B300" t="str">
            <v>Horeca Smart</v>
          </cell>
          <cell r="C300" t="str">
            <v xml:space="preserve">عملاء كاش </v>
          </cell>
          <cell r="D300" t="str">
            <v>Lames Magdy</v>
          </cell>
        </row>
        <row r="301">
          <cell r="A301" t="str">
            <v>درينك اولاد حجازي</v>
          </cell>
          <cell r="B301" t="str">
            <v>Horeca Smart</v>
          </cell>
          <cell r="C301" t="str">
            <v xml:space="preserve">عملاء كاش </v>
          </cell>
          <cell r="D301" t="str">
            <v>Shorouk khaled</v>
          </cell>
        </row>
        <row r="302">
          <cell r="A302" t="str">
            <v>سوبر بيتزا</v>
          </cell>
          <cell r="B302" t="str">
            <v>MAS</v>
          </cell>
          <cell r="C302" t="str">
            <v xml:space="preserve">عملاء كاش </v>
          </cell>
          <cell r="D302" t="str">
            <v>Haddil Haron</v>
          </cell>
        </row>
        <row r="303">
          <cell r="A303" t="str">
            <v>شاي علي قهوة</v>
          </cell>
          <cell r="B303" t="str">
            <v>Horeca Smart</v>
          </cell>
          <cell r="C303" t="str">
            <v xml:space="preserve">عملاء كاش </v>
          </cell>
          <cell r="D303" t="str">
            <v>Naden Amgad</v>
          </cell>
        </row>
        <row r="304">
          <cell r="A304" t="str">
            <v>شركة اسينا للمقاولات</v>
          </cell>
          <cell r="B304" t="str">
            <v>MAS</v>
          </cell>
          <cell r="C304" t="str">
            <v xml:space="preserve">عملاء كاش </v>
          </cell>
          <cell r="D304" t="str">
            <v>Haddil Haron</v>
          </cell>
        </row>
        <row r="305">
          <cell r="A305" t="str">
            <v>شركة جلويا</v>
          </cell>
          <cell r="B305" t="str">
            <v>Horeca Smart</v>
          </cell>
          <cell r="C305" t="str">
            <v xml:space="preserve">عملاء كاش </v>
          </cell>
          <cell r="D305" t="str">
            <v>Lames Magdy</v>
          </cell>
        </row>
        <row r="306">
          <cell r="A306" t="str">
            <v>صوفيا هاني للصناعات الغذائية</v>
          </cell>
          <cell r="B306" t="str">
            <v>Horeca Smart</v>
          </cell>
          <cell r="C306" t="str">
            <v xml:space="preserve">عملاء كاش </v>
          </cell>
          <cell r="D306" t="str">
            <v>Lames Magdy</v>
          </cell>
        </row>
        <row r="307">
          <cell r="A307" t="str">
            <v>كافيه بيانكي</v>
          </cell>
          <cell r="B307" t="str">
            <v>Horeca Smart</v>
          </cell>
          <cell r="C307" t="str">
            <v xml:space="preserve">عملاء كاش </v>
          </cell>
          <cell r="D307" t="str">
            <v>Mona Mohamed</v>
          </cell>
        </row>
        <row r="308">
          <cell r="A308" t="str">
            <v>كافيه راديو</v>
          </cell>
          <cell r="B308" t="str">
            <v>Horeca Smart</v>
          </cell>
          <cell r="C308" t="str">
            <v xml:space="preserve">عملاء كاش </v>
          </cell>
          <cell r="D308" t="str">
            <v>Naden Amgad</v>
          </cell>
        </row>
        <row r="309">
          <cell r="A309" t="str">
            <v>كافيه ومطعم المغترب</v>
          </cell>
          <cell r="B309" t="str">
            <v>Horeca Smart</v>
          </cell>
          <cell r="C309" t="str">
            <v xml:space="preserve">عملاء كاش </v>
          </cell>
          <cell r="D309" t="str">
            <v>Reham Maher</v>
          </cell>
        </row>
        <row r="310">
          <cell r="A310" t="str">
            <v>كافيه ومطعم ستيم -نادي بلاتينيوم</v>
          </cell>
          <cell r="B310" t="str">
            <v>Horeca Smart</v>
          </cell>
          <cell r="C310" t="str">
            <v xml:space="preserve">عملاء كاش </v>
          </cell>
          <cell r="D310" t="str">
            <v>Lames Magdy</v>
          </cell>
        </row>
        <row r="311">
          <cell r="A311" t="str">
            <v>كافيه ومطعم فلير</v>
          </cell>
          <cell r="B311" t="str">
            <v>Horeca Smart</v>
          </cell>
          <cell r="C311" t="str">
            <v xml:space="preserve">عملاء كاش </v>
          </cell>
          <cell r="D311" t="str">
            <v>Reham Maher</v>
          </cell>
        </row>
        <row r="312">
          <cell r="A312" t="str">
            <v>كافيه ومطعم موزايك</v>
          </cell>
          <cell r="B312" t="str">
            <v>Horeca Smart</v>
          </cell>
          <cell r="C312" t="str">
            <v xml:space="preserve">عملاء كاش </v>
          </cell>
          <cell r="D312" t="str">
            <v>Naden Amgad</v>
          </cell>
        </row>
        <row r="313">
          <cell r="A313" t="str">
            <v>مطعم vip - مدينة الانتاج الاعلامى</v>
          </cell>
          <cell r="B313" t="str">
            <v>Horeca Smart</v>
          </cell>
          <cell r="C313" t="str">
            <v xml:space="preserve">عملاء كاش </v>
          </cell>
          <cell r="D313" t="str">
            <v>Naden Amgad</v>
          </cell>
        </row>
        <row r="314">
          <cell r="A314" t="str">
            <v>مطعم الاصدقاء</v>
          </cell>
          <cell r="B314" t="str">
            <v>Horeca Smart</v>
          </cell>
          <cell r="C314" t="str">
            <v xml:space="preserve">عملاء كاش </v>
          </cell>
          <cell r="D314" t="str">
            <v>Lames Magdy</v>
          </cell>
        </row>
        <row r="315">
          <cell r="A315" t="str">
            <v>مطعم الراعي</v>
          </cell>
          <cell r="B315" t="str">
            <v>Horeca Smart</v>
          </cell>
          <cell r="C315" t="str">
            <v xml:space="preserve">عملاء كاش </v>
          </cell>
          <cell r="D315" t="str">
            <v>Mona Mohamed</v>
          </cell>
        </row>
        <row r="316">
          <cell r="A316" t="str">
            <v>مطعم سنفرو</v>
          </cell>
          <cell r="B316" t="str">
            <v>Horeca Smart</v>
          </cell>
          <cell r="C316" t="str">
            <v xml:space="preserve">عملاء كاش </v>
          </cell>
          <cell r="D316" t="str">
            <v>Lames Magdy</v>
          </cell>
        </row>
        <row r="317">
          <cell r="A317" t="str">
            <v>مطعم شبراوي</v>
          </cell>
          <cell r="B317" t="str">
            <v>Horeca Smart</v>
          </cell>
          <cell r="C317" t="str">
            <v xml:space="preserve">عملاء كاش </v>
          </cell>
          <cell r="D317" t="str">
            <v>Lames Magdy</v>
          </cell>
        </row>
        <row r="318">
          <cell r="A318" t="str">
            <v>مطعم مندينا</v>
          </cell>
          <cell r="B318" t="str">
            <v>Horeca Smart</v>
          </cell>
          <cell r="C318" t="str">
            <v xml:space="preserve">عملاء كاش </v>
          </cell>
          <cell r="D318" t="str">
            <v>Lames Magdy</v>
          </cell>
        </row>
        <row r="319">
          <cell r="A319" t="str">
            <v>Bel Gelato italiano</v>
          </cell>
          <cell r="B319" t="str">
            <v>Horeca Smart</v>
          </cell>
          <cell r="C319" t="str">
            <v xml:space="preserve">عملاء كاش </v>
          </cell>
          <cell r="D319" t="str">
            <v>Naden Amgad</v>
          </cell>
        </row>
        <row r="320">
          <cell r="A320" t="str">
            <v>Crush Bunz</v>
          </cell>
          <cell r="B320" t="str">
            <v>Horeca Smart</v>
          </cell>
          <cell r="C320" t="str">
            <v xml:space="preserve">عملاء كاش </v>
          </cell>
          <cell r="D320" t="str">
            <v>Lames Magdy</v>
          </cell>
        </row>
        <row r="321">
          <cell r="A321" t="str">
            <v>KANA Cafe&amp;Restaurant</v>
          </cell>
          <cell r="B321" t="str">
            <v>Horeca Smart</v>
          </cell>
          <cell r="C321" t="str">
            <v xml:space="preserve">عملاء كاش </v>
          </cell>
          <cell r="D321" t="str">
            <v>Reham Maher</v>
          </cell>
        </row>
        <row r="322">
          <cell r="A322" t="str">
            <v>Nalu Lebanese Restaurant</v>
          </cell>
          <cell r="B322" t="str">
            <v>Horeca Smart</v>
          </cell>
          <cell r="C322" t="str">
            <v xml:space="preserve">عملاء كاش </v>
          </cell>
          <cell r="D322" t="str">
            <v>Mona Mohamed</v>
          </cell>
        </row>
        <row r="323">
          <cell r="A323" t="str">
            <v>Toki Rstaurant Asian food</v>
          </cell>
          <cell r="B323" t="str">
            <v>Horeca Smart</v>
          </cell>
          <cell r="C323" t="str">
            <v xml:space="preserve">عملاء كاش </v>
          </cell>
          <cell r="D323" t="str">
            <v>Lames Magdy</v>
          </cell>
        </row>
        <row r="324">
          <cell r="A324" t="str">
            <v>kak fried chicken</v>
          </cell>
          <cell r="B324" t="str">
            <v>Horeca Smart</v>
          </cell>
          <cell r="C324" t="str">
            <v xml:space="preserve">عملاء كاش </v>
          </cell>
          <cell r="D324" t="str">
            <v>Lames Magdy</v>
          </cell>
        </row>
        <row r="325">
          <cell r="A325" t="str">
            <v>ألميرا</v>
          </cell>
          <cell r="B325" t="str">
            <v>MAS</v>
          </cell>
          <cell r="C325" t="str">
            <v xml:space="preserve">عملاء كاش </v>
          </cell>
          <cell r="D325" t="str">
            <v>Haddil Haron</v>
          </cell>
        </row>
        <row r="326">
          <cell r="A326" t="str">
            <v>ادوومي فودز</v>
          </cell>
          <cell r="B326" t="str">
            <v>Horeca Smart</v>
          </cell>
          <cell r="C326" t="str">
            <v xml:space="preserve">عملاء كاش </v>
          </cell>
          <cell r="D326" t="str">
            <v>Naden Amgad</v>
          </cell>
        </row>
        <row r="327">
          <cell r="A327" t="str">
            <v>الليوان</v>
          </cell>
          <cell r="B327" t="str">
            <v>Horeca Smart</v>
          </cell>
          <cell r="C327" t="str">
            <v xml:space="preserve">عملاء كاش </v>
          </cell>
          <cell r="D327" t="str">
            <v>Mona Mohamed</v>
          </cell>
        </row>
        <row r="328">
          <cell r="A328" t="str">
            <v>سوشي ان بوكس</v>
          </cell>
          <cell r="B328" t="str">
            <v>Horeca Smart</v>
          </cell>
          <cell r="C328" t="str">
            <v xml:space="preserve">عملاء كاش </v>
          </cell>
          <cell r="D328" t="str">
            <v>Lames Magdy</v>
          </cell>
        </row>
        <row r="329">
          <cell r="A329" t="str">
            <v>شركة المدينة للتوريدات ( عميل - مورد )</v>
          </cell>
          <cell r="B329" t="str">
            <v>MAS</v>
          </cell>
          <cell r="C329" t="str">
            <v>عميل - مورد</v>
          </cell>
          <cell r="D329" t="str">
            <v>Haddil Haron</v>
          </cell>
        </row>
        <row r="330">
          <cell r="A330" t="str">
            <v>عبير الاوركيد</v>
          </cell>
          <cell r="B330" t="str">
            <v>Horeca Smart</v>
          </cell>
          <cell r="C330" t="str">
            <v xml:space="preserve">عملاء كاش </v>
          </cell>
          <cell r="D330" t="str">
            <v>Donia Khaled</v>
          </cell>
        </row>
        <row r="331">
          <cell r="A331" t="str">
            <v>فرست كلاس</v>
          </cell>
          <cell r="B331" t="str">
            <v>MAS</v>
          </cell>
          <cell r="C331" t="str">
            <v>عملاء اجل</v>
          </cell>
          <cell r="D331" t="str">
            <v>Haddil Haron</v>
          </cell>
        </row>
        <row r="332">
          <cell r="A332" t="str">
            <v>Big Boy Restaurant</v>
          </cell>
          <cell r="B332" t="str">
            <v>Horeca Smart</v>
          </cell>
          <cell r="C332" t="str">
            <v xml:space="preserve">عملاء كاش </v>
          </cell>
          <cell r="D332" t="str">
            <v>Donia Khaled</v>
          </cell>
        </row>
        <row r="333">
          <cell r="A333" t="str">
            <v>Bja company</v>
          </cell>
          <cell r="B333" t="str">
            <v>Horeca Smart</v>
          </cell>
          <cell r="C333" t="str">
            <v xml:space="preserve">عملاء كاش </v>
          </cell>
          <cell r="D333" t="str">
            <v>Reham Maher</v>
          </cell>
        </row>
        <row r="334">
          <cell r="A334" t="str">
            <v>Coxswains Marketing</v>
          </cell>
          <cell r="B334" t="str">
            <v>Horeca Smart</v>
          </cell>
          <cell r="C334" t="str">
            <v xml:space="preserve">عملاء كاش </v>
          </cell>
          <cell r="D334" t="str">
            <v>Naden Amgad</v>
          </cell>
        </row>
        <row r="335">
          <cell r="A335" t="str">
            <v>Next cup</v>
          </cell>
          <cell r="B335" t="str">
            <v>Horeca Smart</v>
          </cell>
          <cell r="C335" t="str">
            <v xml:space="preserve">عملاء كاش </v>
          </cell>
          <cell r="D335" t="str">
            <v>Shorouk khaled</v>
          </cell>
        </row>
        <row r="336">
          <cell r="A336" t="str">
            <v>Silk Road-Doking</v>
          </cell>
          <cell r="B336" t="str">
            <v>MAS</v>
          </cell>
          <cell r="C336" t="str">
            <v>عميل - مورد</v>
          </cell>
          <cell r="D336" t="str">
            <v>Amgad Ahmed</v>
          </cell>
        </row>
        <row r="337">
          <cell r="A337" t="str">
            <v>green tree express (شركه abc للاستثمار السياحي)</v>
          </cell>
          <cell r="B337" t="str">
            <v>Horeca Smart</v>
          </cell>
          <cell r="C337" t="str">
            <v xml:space="preserve">عملاء كاش </v>
          </cell>
          <cell r="D337" t="str">
            <v>Donia Khaled</v>
          </cell>
        </row>
        <row r="338">
          <cell r="A338" t="str">
            <v>ادارة المشتريات</v>
          </cell>
        </row>
        <row r="339">
          <cell r="A339" t="str">
            <v>الانفوشي</v>
          </cell>
          <cell r="B339" t="str">
            <v>MAS</v>
          </cell>
          <cell r="C339" t="str">
            <v>متجمد</v>
          </cell>
          <cell r="D339" t="str">
            <v>Haddil Haron</v>
          </cell>
        </row>
        <row r="340">
          <cell r="A340" t="str">
            <v>الخبز الذهبي</v>
          </cell>
          <cell r="B340" t="str">
            <v>Horeca Smart</v>
          </cell>
          <cell r="C340" t="str">
            <v xml:space="preserve">عملاء كاش </v>
          </cell>
          <cell r="D340" t="str">
            <v>Lames Magdy</v>
          </cell>
        </row>
        <row r="341">
          <cell r="A341" t="str">
            <v>المؤسسة الدولية للتوريدات</v>
          </cell>
          <cell r="B341" t="str">
            <v>MAS</v>
          </cell>
          <cell r="C341" t="str">
            <v xml:space="preserve">عملاء كاش </v>
          </cell>
          <cell r="D341" t="str">
            <v>Haddil Haron</v>
          </cell>
        </row>
        <row r="342">
          <cell r="A342" t="str">
            <v>بيتزا الدفراوي</v>
          </cell>
          <cell r="B342" t="str">
            <v>Horeca Smart</v>
          </cell>
          <cell r="C342" t="str">
            <v xml:space="preserve">عملاء كاش </v>
          </cell>
          <cell r="D342" t="str">
            <v>Lames Magdy</v>
          </cell>
        </row>
        <row r="343">
          <cell r="A343" t="str">
            <v>تيستي هاب</v>
          </cell>
          <cell r="B343" t="str">
            <v>Horeca Smart</v>
          </cell>
          <cell r="C343" t="str">
            <v xml:space="preserve">عملاء كاش </v>
          </cell>
          <cell r="D343" t="str">
            <v>Lames Magdy</v>
          </cell>
        </row>
        <row r="344">
          <cell r="A344" t="str">
            <v>ثلاجه خالد ابو ضيف</v>
          </cell>
          <cell r="B344" t="str">
            <v>Horeca Smart</v>
          </cell>
          <cell r="C344" t="str">
            <v xml:space="preserve">عملاء كاش </v>
          </cell>
          <cell r="D344" t="str">
            <v>Mona Mohamed</v>
          </cell>
        </row>
        <row r="345">
          <cell r="A345" t="str">
            <v>جدو المدملك</v>
          </cell>
          <cell r="B345" t="str">
            <v>Horeca Smart</v>
          </cell>
          <cell r="C345" t="str">
            <v xml:space="preserve">عملاء كاش </v>
          </cell>
          <cell r="D345" t="str">
            <v>Naden Amgad</v>
          </cell>
        </row>
        <row r="346">
          <cell r="A346" t="str">
            <v>سيلكت للخدمات التسويقيه توريدات</v>
          </cell>
          <cell r="B346" t="str">
            <v>Horeca Smart</v>
          </cell>
          <cell r="C346" t="str">
            <v xml:space="preserve">عملاء كاش </v>
          </cell>
          <cell r="D346" t="str">
            <v>Lames Magdy</v>
          </cell>
        </row>
        <row r="347">
          <cell r="A347" t="str">
            <v>فوودز ستيشن</v>
          </cell>
          <cell r="C347" t="str">
            <v>موردين كاش</v>
          </cell>
          <cell r="D347" t="str">
            <v>Amgad Ahmed</v>
          </cell>
        </row>
        <row r="348">
          <cell r="A348" t="str">
            <v>كاظم ايس كريم</v>
          </cell>
          <cell r="B348" t="str">
            <v>MAS</v>
          </cell>
          <cell r="C348" t="str">
            <v xml:space="preserve">عملاء كاش </v>
          </cell>
          <cell r="D348" t="str">
            <v>Haddil Haron</v>
          </cell>
        </row>
        <row r="349">
          <cell r="A349" t="str">
            <v>كافيه ميوز</v>
          </cell>
          <cell r="B349" t="str">
            <v>Horeca Smart</v>
          </cell>
          <cell r="C349" t="str">
            <v xml:space="preserve">عملاء كاش </v>
          </cell>
          <cell r="D349" t="str">
            <v>Lames Magdy</v>
          </cell>
        </row>
        <row r="350">
          <cell r="A350" t="str">
            <v>مصنع بريد فاست</v>
          </cell>
          <cell r="B350" t="str">
            <v>MAS</v>
          </cell>
          <cell r="C350" t="str">
            <v>عملاء اجل</v>
          </cell>
          <cell r="D350" t="str">
            <v>Haddil Haron</v>
          </cell>
        </row>
        <row r="352">
          <cell r="A352" t="str">
            <v>مطعم السمسمية للمأكولات البحرية</v>
          </cell>
          <cell r="B352" t="str">
            <v>Horeca Smart</v>
          </cell>
          <cell r="C352" t="str">
            <v xml:space="preserve">عملاء كاش </v>
          </cell>
          <cell r="D352" t="str">
            <v>Lames Magdy</v>
          </cell>
        </row>
        <row r="353">
          <cell r="A353" t="str">
            <v>مطعم دينا كانتينا</v>
          </cell>
          <cell r="B353" t="str">
            <v>Horeca Smart</v>
          </cell>
          <cell r="C353" t="str">
            <v xml:space="preserve">عملاء كاش </v>
          </cell>
          <cell r="D353" t="str">
            <v>Mona Mohamed</v>
          </cell>
        </row>
        <row r="354">
          <cell r="A354" t="str">
            <v>مطعم لافندر</v>
          </cell>
          <cell r="B354" t="str">
            <v>Horeca Smart</v>
          </cell>
          <cell r="C354" t="str">
            <v xml:space="preserve">عملاء كاش </v>
          </cell>
          <cell r="D354" t="str">
            <v>Donia Khaled</v>
          </cell>
        </row>
        <row r="355">
          <cell r="A355" t="str">
            <v>مطعم موبيسترو</v>
          </cell>
          <cell r="B355" t="str">
            <v>Horeca Smart</v>
          </cell>
          <cell r="C355" t="str">
            <v xml:space="preserve">عملاء كاش </v>
          </cell>
          <cell r="D355" t="str">
            <v>Naden Amgad</v>
          </cell>
        </row>
        <row r="356">
          <cell r="A356" t="str">
            <v>مو سوشي</v>
          </cell>
          <cell r="B356" t="str">
            <v>Horeca Smart</v>
          </cell>
          <cell r="C356" t="str">
            <v xml:space="preserve">عملاء كاش </v>
          </cell>
          <cell r="D356" t="str">
            <v>Naden Amgad</v>
          </cell>
        </row>
        <row r="357">
          <cell r="A357" t="str">
            <v>2MO</v>
          </cell>
          <cell r="B357" t="str">
            <v>Horeca Smart</v>
          </cell>
          <cell r="C357" t="str">
            <v>موردين كاش</v>
          </cell>
          <cell r="D357" t="str">
            <v>Amgad Ahmed</v>
          </cell>
        </row>
        <row r="358">
          <cell r="A358" t="str">
            <v>Abo Heiba Coffee</v>
          </cell>
          <cell r="B358" t="str">
            <v>Horeca Smart</v>
          </cell>
          <cell r="C358" t="str">
            <v xml:space="preserve">عملاء كاش </v>
          </cell>
          <cell r="D358" t="str">
            <v>Lames Magdy</v>
          </cell>
        </row>
        <row r="359">
          <cell r="A359" t="str">
            <v>Arika Cafe&amp;Restaurant</v>
          </cell>
          <cell r="B359" t="str">
            <v>Horeca Smart</v>
          </cell>
          <cell r="C359" t="str">
            <v xml:space="preserve">عملاء كاش </v>
          </cell>
          <cell r="D359" t="str">
            <v>Lames Magdy</v>
          </cell>
        </row>
        <row r="360">
          <cell r="A360" t="str">
            <v>Debonairs Pizza</v>
          </cell>
          <cell r="B360" t="str">
            <v>Horeca Smart</v>
          </cell>
          <cell r="C360" t="str">
            <v xml:space="preserve">عملاء كاش </v>
          </cell>
          <cell r="D360" t="str">
            <v>Mona Mohamed</v>
          </cell>
        </row>
        <row r="361">
          <cell r="A361" t="str">
            <v>Espacio Coffee</v>
          </cell>
          <cell r="B361" t="str">
            <v>Horeca Smart</v>
          </cell>
          <cell r="C361" t="str">
            <v xml:space="preserve">عملاء كاش </v>
          </cell>
          <cell r="D361" t="str">
            <v>Lames Magdy</v>
          </cell>
        </row>
        <row r="362">
          <cell r="A362" t="str">
            <v>Heart Attack</v>
          </cell>
          <cell r="B362" t="str">
            <v>MAS</v>
          </cell>
          <cell r="C362" t="str">
            <v>متجمد</v>
          </cell>
          <cell r="D362" t="str">
            <v>Mona Mohamed</v>
          </cell>
        </row>
        <row r="363">
          <cell r="A363" t="str">
            <v>L'CASA</v>
          </cell>
          <cell r="B363" t="str">
            <v>Horeca Smart</v>
          </cell>
          <cell r="C363" t="str">
            <v xml:space="preserve">عملاء كاش </v>
          </cell>
          <cell r="D363" t="str">
            <v>Donia Khaled</v>
          </cell>
        </row>
        <row r="364">
          <cell r="A364" t="str">
            <v>La farine boutique ( لافرين بوتيك )</v>
          </cell>
          <cell r="B364" t="str">
            <v>Horeca Smart</v>
          </cell>
          <cell r="C364" t="str">
            <v xml:space="preserve">عملاء كاش </v>
          </cell>
          <cell r="D364" t="str">
            <v>Reham Maher</v>
          </cell>
        </row>
        <row r="365">
          <cell r="A365" t="str">
            <v>Mahmoud Khalil</v>
          </cell>
          <cell r="C365" t="str">
            <v>موظفين</v>
          </cell>
        </row>
        <row r="366">
          <cell r="A366" t="str">
            <v>Mediterraneo</v>
          </cell>
          <cell r="B366" t="str">
            <v>Horeca Smart</v>
          </cell>
          <cell r="C366" t="str">
            <v xml:space="preserve">موردين اجل </v>
          </cell>
          <cell r="D366" t="str">
            <v>Lames Magdy</v>
          </cell>
        </row>
        <row r="367">
          <cell r="A367" t="str">
            <v>On Us</v>
          </cell>
          <cell r="B367" t="str">
            <v>Horeca Smart</v>
          </cell>
          <cell r="C367" t="str">
            <v xml:space="preserve">عملاء كاش </v>
          </cell>
          <cell r="D367" t="str">
            <v>Reham Maher</v>
          </cell>
        </row>
        <row r="368">
          <cell r="A368" t="str">
            <v>Room Alone Cafe&amp;Restaurant</v>
          </cell>
          <cell r="B368" t="str">
            <v>Horeca Smart</v>
          </cell>
          <cell r="C368" t="str">
            <v xml:space="preserve">عملاء كاش </v>
          </cell>
          <cell r="D368" t="str">
            <v>Lames Magdy</v>
          </cell>
        </row>
        <row r="369">
          <cell r="A369" t="str">
            <v>SAIN</v>
          </cell>
          <cell r="B369" t="str">
            <v>Horeca Smart</v>
          </cell>
          <cell r="C369" t="str">
            <v xml:space="preserve">عملاء كاش </v>
          </cell>
          <cell r="D369" t="str">
            <v>Donia Khaled</v>
          </cell>
        </row>
        <row r="370">
          <cell r="A370" t="str">
            <v>Slice and Shake</v>
          </cell>
          <cell r="B370" t="str">
            <v>Horeca Smart</v>
          </cell>
          <cell r="C370" t="str">
            <v xml:space="preserve">عملاء كاش </v>
          </cell>
          <cell r="D370" t="str">
            <v>Reham Maher</v>
          </cell>
        </row>
        <row r="371">
          <cell r="A371" t="str">
            <v>Specialty coffee</v>
          </cell>
          <cell r="B371" t="str">
            <v>Horeca Smart</v>
          </cell>
          <cell r="C371" t="str">
            <v xml:space="preserve">عملاء كاش </v>
          </cell>
          <cell r="D371" t="str">
            <v>Mona Mohamed</v>
          </cell>
        </row>
        <row r="372">
          <cell r="A372" t="str">
            <v>kB’S</v>
          </cell>
          <cell r="B372" t="str">
            <v>MAS</v>
          </cell>
          <cell r="C372" t="str">
            <v>عملاء اجل</v>
          </cell>
          <cell r="D372" t="str">
            <v>Haddil Haron</v>
          </cell>
        </row>
        <row r="373">
          <cell r="A373" t="str">
            <v>احمد حلمى (عميل - مورد)</v>
          </cell>
          <cell r="B373" t="str">
            <v>MAS</v>
          </cell>
          <cell r="C373" t="str">
            <v>عميل - مورد</v>
          </cell>
          <cell r="D373" t="str">
            <v>Amgad Ahmed</v>
          </cell>
        </row>
        <row r="374">
          <cell r="A374" t="str">
            <v>احمد يوسف ( عميل و مورد )</v>
          </cell>
          <cell r="B374" t="str">
            <v>MAS</v>
          </cell>
          <cell r="C374" t="str">
            <v>عميل - مورد</v>
          </cell>
          <cell r="D374" t="str">
            <v>Haddil Haron</v>
          </cell>
        </row>
        <row r="375">
          <cell r="A375" t="str">
            <v>الباجوري (عميل - مورد)</v>
          </cell>
          <cell r="B375" t="str">
            <v>MAS</v>
          </cell>
          <cell r="C375" t="str">
            <v>عميل - مورد</v>
          </cell>
          <cell r="D375" t="str">
            <v>Amgad Ahmed</v>
          </cell>
        </row>
        <row r="376">
          <cell r="A376" t="str">
            <v>الصادق للتوريدات</v>
          </cell>
          <cell r="B376" t="str">
            <v>Horeca Smart</v>
          </cell>
          <cell r="C376" t="str">
            <v xml:space="preserve">عملاء كاش </v>
          </cell>
          <cell r="D376" t="str">
            <v>Mona Mohamed</v>
          </cell>
        </row>
        <row r="377">
          <cell r="A377" t="str">
            <v>الصعيدى " سنا فودز "</v>
          </cell>
          <cell r="B377" t="str">
            <v>MAS</v>
          </cell>
          <cell r="C377" t="str">
            <v>عملاء اجل</v>
          </cell>
          <cell r="D377" t="str">
            <v>Haddil Haron</v>
          </cell>
        </row>
        <row r="378">
          <cell r="A378" t="str">
            <v>انس الدمشقي</v>
          </cell>
          <cell r="B378" t="str">
            <v>Horeca Smart</v>
          </cell>
          <cell r="C378" t="str">
            <v xml:space="preserve">عملاء كاش </v>
          </cell>
          <cell r="D378" t="str">
            <v>Donia Khaled</v>
          </cell>
        </row>
        <row r="379">
          <cell r="A379" t="str">
            <v>بترو اب - مورد خدمه</v>
          </cell>
          <cell r="C379" t="str">
            <v>موردين كاش</v>
          </cell>
          <cell r="D379" t="str">
            <v>Amgad Ahmed</v>
          </cell>
        </row>
        <row r="380">
          <cell r="A380" t="str">
            <v>بيبك مشويات المطاعم</v>
          </cell>
          <cell r="B380" t="str">
            <v>Horeca Smart</v>
          </cell>
          <cell r="C380" t="str">
            <v xml:space="preserve">عملاء كاش </v>
          </cell>
          <cell r="D380" t="str">
            <v>Mona Mohamed</v>
          </cell>
        </row>
        <row r="381">
          <cell r="A381" t="str">
            <v>توريقه</v>
          </cell>
          <cell r="B381" t="str">
            <v>MAS</v>
          </cell>
          <cell r="C381" t="str">
            <v xml:space="preserve">عملاء كاش </v>
          </cell>
          <cell r="D381" t="str">
            <v>Haddil Haron</v>
          </cell>
        </row>
        <row r="382">
          <cell r="A382" t="str">
            <v>توينكى</v>
          </cell>
          <cell r="B382" t="str">
            <v>MAS</v>
          </cell>
          <cell r="C382" t="str">
            <v>متجمد</v>
          </cell>
          <cell r="D382" t="str">
            <v>Naden Amgad</v>
          </cell>
        </row>
        <row r="383">
          <cell r="A383" t="str">
            <v>دار الدفاع الجوي</v>
          </cell>
          <cell r="B383" t="str">
            <v>MAS</v>
          </cell>
          <cell r="C383" t="str">
            <v>عملاء اجل</v>
          </cell>
          <cell r="D383" t="str">
            <v>Lames Magdy</v>
          </cell>
        </row>
        <row r="384">
          <cell r="A384" t="str">
            <v>شركه المحلاوي</v>
          </cell>
          <cell r="C384" t="str">
            <v xml:space="preserve">عملاء كاش </v>
          </cell>
        </row>
        <row r="385">
          <cell r="A385" t="str">
            <v>شيف اون دور</v>
          </cell>
          <cell r="B385" t="str">
            <v>MAS</v>
          </cell>
          <cell r="C385" t="str">
            <v xml:space="preserve">عملاء كاش </v>
          </cell>
          <cell r="D385" t="str">
            <v>Haddil Haron</v>
          </cell>
        </row>
        <row r="386">
          <cell r="A386" t="str">
            <v>فايف سويتس</v>
          </cell>
          <cell r="B386" t="str">
            <v>MAS</v>
          </cell>
          <cell r="C386" t="str">
            <v>عملاء اجل</v>
          </cell>
          <cell r="D386" t="str">
            <v>Lames Magdy</v>
          </cell>
        </row>
        <row r="387">
          <cell r="A387" t="str">
            <v>كافيه جولدن فايبس</v>
          </cell>
          <cell r="B387" t="str">
            <v>Horeca Smart</v>
          </cell>
          <cell r="C387" t="str">
            <v xml:space="preserve">عملاء كاش </v>
          </cell>
          <cell r="D387" t="str">
            <v>Donia Khaled</v>
          </cell>
        </row>
        <row r="388">
          <cell r="A388" t="str">
            <v>كبدة الفلاح - الالف مصنع</v>
          </cell>
          <cell r="B388" t="str">
            <v>MAS</v>
          </cell>
          <cell r="C388" t="str">
            <v>متجمد</v>
          </cell>
          <cell r="D388" t="str">
            <v>Donia Khaled</v>
          </cell>
        </row>
        <row r="389">
          <cell r="A389" t="str">
            <v>كرياتف بان لادارة المطاعم</v>
          </cell>
          <cell r="B389" t="str">
            <v>MAS</v>
          </cell>
          <cell r="C389" t="str">
            <v>عملاء اجل</v>
          </cell>
          <cell r="D389" t="str">
            <v>Haddil Haron</v>
          </cell>
        </row>
        <row r="390">
          <cell r="A390" t="str">
            <v>مصر الوطنية للمواد الغذائية</v>
          </cell>
          <cell r="C390" t="str">
            <v>موردين كاش</v>
          </cell>
          <cell r="D390" t="str">
            <v>Amgad Ahmed</v>
          </cell>
        </row>
        <row r="391">
          <cell r="A391" t="str">
            <v>مصنع فورناليا</v>
          </cell>
          <cell r="B391" t="str">
            <v>Horeca Smart</v>
          </cell>
          <cell r="C391" t="str">
            <v xml:space="preserve">عملاء كاش </v>
          </cell>
          <cell r="D391" t="str">
            <v>Lames Magdy</v>
          </cell>
        </row>
        <row r="392">
          <cell r="A392" t="str">
            <v>مطعم الجعان</v>
          </cell>
          <cell r="B392" t="str">
            <v>Horeca Smart</v>
          </cell>
          <cell r="C392" t="str">
            <v xml:space="preserve">عملاء كاش </v>
          </cell>
          <cell r="D392" t="str">
            <v>Lames Magdy</v>
          </cell>
        </row>
        <row r="393">
          <cell r="A393" t="str">
            <v>Bambo</v>
          </cell>
          <cell r="B393" t="str">
            <v>Horeca Smart</v>
          </cell>
          <cell r="C393" t="str">
            <v xml:space="preserve">عملاء كاش </v>
          </cell>
          <cell r="D393" t="str">
            <v>Shorouk khaled</v>
          </cell>
        </row>
        <row r="394">
          <cell r="A394" t="str">
            <v>Bean An Bun</v>
          </cell>
          <cell r="B394" t="str">
            <v>Horeca Smart</v>
          </cell>
          <cell r="C394" t="str">
            <v xml:space="preserve">عملاء كاش </v>
          </cell>
          <cell r="D394" t="str">
            <v>Reham Maher</v>
          </cell>
        </row>
        <row r="395">
          <cell r="A395" t="str">
            <v>Club Coffee</v>
          </cell>
          <cell r="B395" t="str">
            <v>Horeca Smart</v>
          </cell>
          <cell r="C395" t="str">
            <v xml:space="preserve">عملاء كاش </v>
          </cell>
          <cell r="D395" t="str">
            <v>Shorouk khaled</v>
          </cell>
        </row>
        <row r="396">
          <cell r="A396" t="str">
            <v>Dash cafe&amp;Restaurant</v>
          </cell>
          <cell r="B396" t="str">
            <v>Horeca Smart</v>
          </cell>
          <cell r="C396" t="str">
            <v xml:space="preserve">عملاء كاش </v>
          </cell>
          <cell r="D396" t="str">
            <v>Reham Maher</v>
          </cell>
        </row>
        <row r="397">
          <cell r="A397" t="str">
            <v>ERA</v>
          </cell>
          <cell r="B397" t="str">
            <v>Horeca Smart</v>
          </cell>
          <cell r="C397" t="str">
            <v xml:space="preserve">عملاء كاش </v>
          </cell>
          <cell r="D397" t="str">
            <v>Donia Khaled</v>
          </cell>
        </row>
        <row r="398">
          <cell r="A398" t="str">
            <v>Hunker Burger</v>
          </cell>
          <cell r="B398" t="str">
            <v>Horeca Smart</v>
          </cell>
          <cell r="C398" t="str">
            <v xml:space="preserve">عملاء كاش </v>
          </cell>
          <cell r="D398" t="str">
            <v>Reham Maher</v>
          </cell>
        </row>
        <row r="399">
          <cell r="A399" t="str">
            <v>LA SIESTA</v>
          </cell>
          <cell r="B399" t="str">
            <v>Horeca Smart</v>
          </cell>
          <cell r="C399" t="str">
            <v xml:space="preserve">عملاء كاش </v>
          </cell>
          <cell r="D399" t="str">
            <v>Shorouk khaled</v>
          </cell>
        </row>
        <row r="400">
          <cell r="A400" t="str">
            <v>Lavania</v>
          </cell>
          <cell r="B400" t="str">
            <v>Horeca Smart</v>
          </cell>
          <cell r="C400" t="str">
            <v xml:space="preserve">عملاء كاش </v>
          </cell>
          <cell r="D400" t="str">
            <v>Reham Maher</v>
          </cell>
        </row>
        <row r="401">
          <cell r="A401" t="str">
            <v>Melt chocolate Cafe</v>
          </cell>
          <cell r="B401" t="str">
            <v>Horeca Smart</v>
          </cell>
          <cell r="C401" t="str">
            <v xml:space="preserve">عملاء كاش </v>
          </cell>
          <cell r="D401" t="str">
            <v>Donia Khaled</v>
          </cell>
        </row>
        <row r="402">
          <cell r="A402" t="str">
            <v>No Big Deal - Pub &amp; Restobar</v>
          </cell>
          <cell r="B402" t="str">
            <v>Horeca Smart</v>
          </cell>
          <cell r="C402" t="str">
            <v xml:space="preserve">عملاء كاش </v>
          </cell>
          <cell r="D402" t="str">
            <v>Mona Mohamed</v>
          </cell>
        </row>
        <row r="403">
          <cell r="A403" t="str">
            <v>POA</v>
          </cell>
          <cell r="B403" t="str">
            <v>Horeca Smart</v>
          </cell>
          <cell r="C403" t="str">
            <v>عملاء اجل</v>
          </cell>
          <cell r="D403" t="str">
            <v>Naden Amgad</v>
          </cell>
        </row>
        <row r="404">
          <cell r="A404" t="str">
            <v>San Sushi</v>
          </cell>
          <cell r="B404" t="str">
            <v>Horeca Smart</v>
          </cell>
          <cell r="C404" t="str">
            <v xml:space="preserve">عملاء كاش </v>
          </cell>
          <cell r="D404" t="str">
            <v>Shorouk khaled</v>
          </cell>
        </row>
        <row r="405">
          <cell r="A405" t="str">
            <v>Sizzle Chicken fried</v>
          </cell>
          <cell r="B405" t="str">
            <v>Horeca Smart</v>
          </cell>
          <cell r="C405" t="str">
            <v xml:space="preserve">عملاء كاش </v>
          </cell>
          <cell r="D405" t="str">
            <v>Lames Magdy</v>
          </cell>
        </row>
        <row r="406">
          <cell r="A406" t="str">
            <v>Sun City Mall</v>
          </cell>
          <cell r="B406" t="str">
            <v>Horeca Smart</v>
          </cell>
          <cell r="C406" t="str">
            <v xml:space="preserve">عملاء كاش </v>
          </cell>
          <cell r="D406" t="str">
            <v>Lames Magdy</v>
          </cell>
        </row>
        <row r="407">
          <cell r="A407" t="str">
            <v>Tavolini Cafe</v>
          </cell>
          <cell r="B407" t="str">
            <v>Horeca Smart</v>
          </cell>
          <cell r="C407" t="str">
            <v xml:space="preserve">عملاء كاش </v>
          </cell>
          <cell r="D407" t="str">
            <v>Mona Mohamed</v>
          </cell>
        </row>
        <row r="408">
          <cell r="A408" t="str">
            <v>Tradezone</v>
          </cell>
          <cell r="B408" t="str">
            <v>Horeca Smart</v>
          </cell>
          <cell r="C408" t="str">
            <v xml:space="preserve">عملاء كاش </v>
          </cell>
          <cell r="D408" t="str">
            <v>Donia Khaled</v>
          </cell>
        </row>
        <row r="409">
          <cell r="A409" t="str">
            <v>ارض الحضاره</v>
          </cell>
          <cell r="B409" t="str">
            <v>Horeca Smart</v>
          </cell>
          <cell r="C409" t="str">
            <v xml:space="preserve">عملاء كاش </v>
          </cell>
          <cell r="D409" t="str">
            <v>Mona Mohamed</v>
          </cell>
        </row>
        <row r="410">
          <cell r="A410" t="str">
            <v>بيتزا بريموس</v>
          </cell>
          <cell r="B410" t="str">
            <v>Horeca Smart</v>
          </cell>
          <cell r="C410" t="str">
            <v xml:space="preserve">عملاء كاش </v>
          </cell>
          <cell r="D410" t="str">
            <v>Mona Mohamed</v>
          </cell>
        </row>
        <row r="411">
          <cell r="A411" t="str">
            <v>بيتزا مخبوز  - المخزن</v>
          </cell>
          <cell r="B411" t="str">
            <v>Horeca Smart</v>
          </cell>
          <cell r="C411" t="str">
            <v xml:space="preserve">عملاء كاش </v>
          </cell>
          <cell r="D411" t="str">
            <v>Lames Magdy</v>
          </cell>
        </row>
        <row r="412">
          <cell r="A412" t="str">
            <v>تشنكيز</v>
          </cell>
          <cell r="B412" t="str">
            <v>Horeca Smart</v>
          </cell>
          <cell r="C412" t="str">
            <v xml:space="preserve">عملاء كاش </v>
          </cell>
          <cell r="D412" t="str">
            <v>Reham Maher</v>
          </cell>
        </row>
        <row r="413">
          <cell r="A413" t="str">
            <v>سدرة - كاترينج</v>
          </cell>
          <cell r="B413" t="str">
            <v>MAS</v>
          </cell>
          <cell r="C413" t="str">
            <v xml:space="preserve">عملاء كاش </v>
          </cell>
          <cell r="D413" t="str">
            <v>Haddil Haron</v>
          </cell>
        </row>
        <row r="414">
          <cell r="A414" t="str">
            <v>شركة الماسة العالمية للتوريدات الغذائية</v>
          </cell>
          <cell r="B414" t="str">
            <v>Horeca Smart</v>
          </cell>
          <cell r="C414" t="str">
            <v xml:space="preserve">عملاء كاش </v>
          </cell>
          <cell r="D414" t="str">
            <v>Naden Amgad</v>
          </cell>
        </row>
        <row r="415">
          <cell r="A415" t="str">
            <v>شركة المنصور للتجاره والتوزيع</v>
          </cell>
          <cell r="B415" t="str">
            <v>Horeca Smart</v>
          </cell>
          <cell r="C415" t="str">
            <v>موردين كاش</v>
          </cell>
          <cell r="D415" t="str">
            <v>Amgad Ahmed</v>
          </cell>
        </row>
        <row r="416">
          <cell r="A416" t="str">
            <v>عاليا لاونج</v>
          </cell>
          <cell r="B416" t="str">
            <v>Horeca Smart</v>
          </cell>
          <cell r="C416" t="str">
            <v xml:space="preserve">عملاء كاش </v>
          </cell>
          <cell r="D416" t="str">
            <v>Reham Maher</v>
          </cell>
        </row>
        <row r="417">
          <cell r="A417" t="str">
            <v>كرسبي</v>
          </cell>
          <cell r="B417" t="str">
            <v>Horeca Smart</v>
          </cell>
          <cell r="C417" t="str">
            <v xml:space="preserve">عملاء كاش </v>
          </cell>
          <cell r="D417" t="str">
            <v>Reham Maher</v>
          </cell>
        </row>
        <row r="418">
          <cell r="A418" t="str">
            <v>كرست</v>
          </cell>
          <cell r="B418" t="str">
            <v>Horeca Smart</v>
          </cell>
          <cell r="C418" t="str">
            <v xml:space="preserve">عملاء كاش </v>
          </cell>
          <cell r="D418" t="str">
            <v>Naden Amgad</v>
          </cell>
        </row>
        <row r="419">
          <cell r="A419" t="str">
            <v>محمد مصطفي -</v>
          </cell>
          <cell r="B419" t="str">
            <v>MAS</v>
          </cell>
          <cell r="C419" t="str">
            <v>موردين كاش</v>
          </cell>
          <cell r="D419" t="str">
            <v>Amgad Ahmed</v>
          </cell>
        </row>
        <row r="420">
          <cell r="A420" t="str">
            <v>مستشفي وادي النيل</v>
          </cell>
          <cell r="B420" t="str">
            <v>MAS</v>
          </cell>
          <cell r="C420" t="str">
            <v xml:space="preserve">عملاء كاش </v>
          </cell>
          <cell r="D420" t="str">
            <v>Haddil Haron</v>
          </cell>
        </row>
        <row r="421">
          <cell r="A421" t="str">
            <v>وتيني</v>
          </cell>
          <cell r="B421" t="str">
            <v>Horeca Smart</v>
          </cell>
          <cell r="C421" t="str">
            <v xml:space="preserve">عملاء كاش </v>
          </cell>
          <cell r="D421" t="str">
            <v>Shorouk khaled</v>
          </cell>
        </row>
        <row r="422">
          <cell r="A422" t="str">
            <v>ويز اند كو</v>
          </cell>
          <cell r="B422" t="str">
            <v>Horeca Smart</v>
          </cell>
          <cell r="C422" t="str">
            <v xml:space="preserve">عملاء كاش </v>
          </cell>
          <cell r="D422" t="str">
            <v>Mona Mohamed</v>
          </cell>
        </row>
        <row r="423">
          <cell r="A423" t="str">
            <v>Barista cafe</v>
          </cell>
          <cell r="B423" t="str">
            <v>Horeca Smart</v>
          </cell>
          <cell r="C423" t="str">
            <v xml:space="preserve">عملاء كاش </v>
          </cell>
          <cell r="D423" t="str">
            <v>Lames Magdy</v>
          </cell>
        </row>
        <row r="424">
          <cell r="A424" t="str">
            <v>Dazzle</v>
          </cell>
          <cell r="B424" t="str">
            <v>Horeca Smart</v>
          </cell>
          <cell r="C424" t="str">
            <v xml:space="preserve">عملاء كاش </v>
          </cell>
          <cell r="D424" t="str">
            <v>Mona Mohamed</v>
          </cell>
        </row>
        <row r="425">
          <cell r="A425" t="str">
            <v>Food Fetch &amp; Co. Restaurants</v>
          </cell>
          <cell r="B425" t="str">
            <v>MAS</v>
          </cell>
          <cell r="C425" t="str">
            <v xml:space="preserve">عملاء كاش </v>
          </cell>
          <cell r="D425" t="str">
            <v>Haddil Haron</v>
          </cell>
        </row>
        <row r="426">
          <cell r="A426" t="str">
            <v>Seven sushi Bar</v>
          </cell>
          <cell r="B426" t="str">
            <v>Horeca Smart</v>
          </cell>
          <cell r="C426" t="str">
            <v xml:space="preserve">عملاء كاش </v>
          </cell>
          <cell r="D426" t="str">
            <v>Reham Maher</v>
          </cell>
        </row>
        <row r="427">
          <cell r="A427" t="str">
            <v>Super crispy</v>
          </cell>
          <cell r="B427" t="str">
            <v>Horeca Smart</v>
          </cell>
          <cell r="C427" t="str">
            <v xml:space="preserve">عملاء كاش </v>
          </cell>
          <cell r="D427" t="str">
            <v>Lames Magdy</v>
          </cell>
        </row>
        <row r="428">
          <cell r="A428" t="str">
            <v>بانينو باستري</v>
          </cell>
          <cell r="B428" t="str">
            <v>Horeca Smart</v>
          </cell>
          <cell r="C428" t="str">
            <v xml:space="preserve">عملاء كاش </v>
          </cell>
          <cell r="D428" t="str">
            <v>Lames Magdy</v>
          </cell>
        </row>
        <row r="429">
          <cell r="A429" t="str">
            <v>دوار ام حسن - المهندسين</v>
          </cell>
          <cell r="B429" t="str">
            <v>Horeca Smart</v>
          </cell>
          <cell r="C429" t="str">
            <v xml:space="preserve">عملاء كاش </v>
          </cell>
          <cell r="D429" t="str">
            <v>Naden Amgad</v>
          </cell>
        </row>
        <row r="430">
          <cell r="A430" t="str">
            <v>شركة A.R.M</v>
          </cell>
          <cell r="B430" t="str">
            <v>MAS</v>
          </cell>
          <cell r="C430" t="str">
            <v xml:space="preserve">عملاء كاش </v>
          </cell>
          <cell r="D430" t="str">
            <v>Haddil Haron</v>
          </cell>
        </row>
        <row r="431">
          <cell r="A431" t="str">
            <v>شركة الفريدة للحلويات</v>
          </cell>
          <cell r="B431" t="str">
            <v>MAS</v>
          </cell>
          <cell r="C431" t="str">
            <v xml:space="preserve">عملاء كاش </v>
          </cell>
          <cell r="D431" t="str">
            <v>Haddil Haron</v>
          </cell>
        </row>
        <row r="432">
          <cell r="A432" t="str">
            <v>فطيره دهب</v>
          </cell>
          <cell r="B432" t="str">
            <v>Horeca Smart</v>
          </cell>
          <cell r="C432" t="str">
            <v xml:space="preserve">عملاء كاش </v>
          </cell>
          <cell r="D432" t="str">
            <v>Rasha Hassan</v>
          </cell>
        </row>
        <row r="433">
          <cell r="A433" t="str">
            <v>كافيه نيفو</v>
          </cell>
          <cell r="B433" t="str">
            <v>Horeca Smart</v>
          </cell>
          <cell r="C433" t="str">
            <v xml:space="preserve">عملاء كاش </v>
          </cell>
          <cell r="D433" t="str">
            <v>Reham Maher</v>
          </cell>
        </row>
        <row r="434">
          <cell r="A434" t="str">
            <v>مايلز تريد</v>
          </cell>
          <cell r="B434" t="str">
            <v>Horeca Smart</v>
          </cell>
          <cell r="C434" t="str">
            <v xml:space="preserve">عملاء كاش </v>
          </cell>
          <cell r="D434" t="str">
            <v>Naden Amgad</v>
          </cell>
        </row>
        <row r="435">
          <cell r="A435" t="str">
            <v>مطعم دخنة</v>
          </cell>
          <cell r="B435" t="str">
            <v>Horeca Smart</v>
          </cell>
          <cell r="C435" t="str">
            <v xml:space="preserve">عملاء كاش </v>
          </cell>
          <cell r="D435" t="str">
            <v>Naden Amgad</v>
          </cell>
        </row>
        <row r="436">
          <cell r="A436" t="str">
            <v>مطعم مذاق الشام</v>
          </cell>
          <cell r="B436" t="str">
            <v>Horeca Smart</v>
          </cell>
          <cell r="C436" t="str">
            <v xml:space="preserve">عملاء كاش </v>
          </cell>
          <cell r="D436" t="str">
            <v>Mona Mohamed</v>
          </cell>
        </row>
        <row r="437">
          <cell r="A437" t="str">
            <v>ملوك الشام</v>
          </cell>
          <cell r="B437" t="str">
            <v>Horeca Smart</v>
          </cell>
          <cell r="C437" t="str">
            <v xml:space="preserve">عملاء كاش </v>
          </cell>
          <cell r="D437" t="str">
            <v>Shorouk khaled</v>
          </cell>
        </row>
        <row r="438">
          <cell r="A438" t="str">
            <v>Brew Buzz Specialty Coffee</v>
          </cell>
          <cell r="B438" t="str">
            <v>Horeca Smart</v>
          </cell>
          <cell r="C438" t="str">
            <v xml:space="preserve">عملاء كاش </v>
          </cell>
          <cell r="D438" t="str">
            <v>Reham Maher</v>
          </cell>
        </row>
        <row r="439">
          <cell r="A439" t="str">
            <v>Calzone &amp; calatone</v>
          </cell>
          <cell r="B439" t="str">
            <v>Horeca Smart</v>
          </cell>
          <cell r="C439" t="str">
            <v xml:space="preserve">عملاء كاش </v>
          </cell>
          <cell r="D439" t="str">
            <v>Lames Magdy</v>
          </cell>
        </row>
        <row r="440">
          <cell r="A440" t="str">
            <v>Na2Na2</v>
          </cell>
          <cell r="B440" t="str">
            <v>Horeca Smart</v>
          </cell>
          <cell r="C440" t="str">
            <v xml:space="preserve">عملاء كاش </v>
          </cell>
          <cell r="D440" t="str">
            <v>Naden Amgad</v>
          </cell>
        </row>
        <row r="441">
          <cell r="A441" t="str">
            <v>Pianista</v>
          </cell>
          <cell r="B441" t="str">
            <v>Horeca Smart</v>
          </cell>
          <cell r="C441" t="str">
            <v xml:space="preserve">عملاء كاش </v>
          </cell>
          <cell r="D441" t="str">
            <v>Lames Magdy</v>
          </cell>
        </row>
        <row r="442">
          <cell r="A442" t="str">
            <v>Riot Burger</v>
          </cell>
          <cell r="B442" t="str">
            <v>Horeca Smart</v>
          </cell>
          <cell r="C442" t="str">
            <v xml:space="preserve">عملاء كاش </v>
          </cell>
          <cell r="D442" t="str">
            <v>Shorouk khaled</v>
          </cell>
        </row>
        <row r="443">
          <cell r="A443" t="str">
            <v>Sparta cafe</v>
          </cell>
          <cell r="B443" t="str">
            <v>Horeca Smart</v>
          </cell>
          <cell r="C443" t="str">
            <v xml:space="preserve">عملاء كاش </v>
          </cell>
          <cell r="D443" t="str">
            <v>Mona Mohamed</v>
          </cell>
        </row>
        <row r="444">
          <cell r="A444" t="str">
            <v>Suss Restaurant, Suss Restaurant, Suss Restaurant ,التجمع</v>
          </cell>
          <cell r="B444" t="str">
            <v>Horeca Smart</v>
          </cell>
          <cell r="C444" t="str">
            <v xml:space="preserve">عملاء كاش </v>
          </cell>
          <cell r="D444" t="str">
            <v>Reham Maher</v>
          </cell>
        </row>
        <row r="445">
          <cell r="A445" t="str">
            <v>Wingerz</v>
          </cell>
          <cell r="B445" t="str">
            <v>Horeca Smart</v>
          </cell>
          <cell r="C445" t="str">
            <v xml:space="preserve">عملاء كاش </v>
          </cell>
          <cell r="D445" t="str">
            <v>Reham Maher</v>
          </cell>
        </row>
        <row r="446">
          <cell r="A446" t="str">
            <v>اسماك العبور</v>
          </cell>
          <cell r="B446" t="str">
            <v>Horeca Smart</v>
          </cell>
          <cell r="C446" t="str">
            <v xml:space="preserve">عملاء كاش </v>
          </cell>
          <cell r="D446" t="str">
            <v>Donia Khaled</v>
          </cell>
        </row>
        <row r="447">
          <cell r="A447" t="str">
            <v>الهادي نيو لتوريد المواد الغذائية</v>
          </cell>
          <cell r="B447" t="str">
            <v>Horeca Smart</v>
          </cell>
          <cell r="C447" t="str">
            <v xml:space="preserve">عملاء كاش </v>
          </cell>
          <cell r="D447" t="str">
            <v>Donia Khaled</v>
          </cell>
        </row>
        <row r="448">
          <cell r="A448" t="str">
            <v>باشون للمنشات السياحية</v>
          </cell>
          <cell r="B448" t="str">
            <v>Horeca Smart</v>
          </cell>
          <cell r="C448" t="str">
            <v xml:space="preserve">عملاء كاش </v>
          </cell>
          <cell r="D448" t="str">
            <v>Reham Maher</v>
          </cell>
        </row>
        <row r="449">
          <cell r="A449" t="str">
            <v>بروست الملوك</v>
          </cell>
          <cell r="B449" t="str">
            <v>Horeca Smart</v>
          </cell>
          <cell r="C449" t="str">
            <v xml:space="preserve">عملاء كاش </v>
          </cell>
          <cell r="D449" t="str">
            <v>Donia Khaled</v>
          </cell>
        </row>
        <row r="450">
          <cell r="A450" t="str">
            <v>تشيرز</v>
          </cell>
          <cell r="B450" t="str">
            <v>Horeca Smart</v>
          </cell>
          <cell r="C450" t="str">
            <v xml:space="preserve">عملاء كاش </v>
          </cell>
          <cell r="D450" t="str">
            <v>Mona Mohamed</v>
          </cell>
        </row>
        <row r="451">
          <cell r="A451" t="str">
            <v>شركة جيت</v>
          </cell>
          <cell r="B451" t="str">
            <v>MAS</v>
          </cell>
          <cell r="C451" t="str">
            <v xml:space="preserve">عملاء كاش </v>
          </cell>
          <cell r="D451" t="str">
            <v>Haddil Haron</v>
          </cell>
        </row>
        <row r="452">
          <cell r="A452" t="str">
            <v>شمندي</v>
          </cell>
          <cell r="B452" t="str">
            <v>Horeca Smart</v>
          </cell>
          <cell r="C452" t="str">
            <v xml:space="preserve">عملاء كاش </v>
          </cell>
          <cell r="D452" t="str">
            <v>Mona Mohamed</v>
          </cell>
        </row>
        <row r="453">
          <cell r="A453" t="str">
            <v>عم كبده</v>
          </cell>
          <cell r="B453" t="str">
            <v>Horeca Smart</v>
          </cell>
          <cell r="C453" t="str">
            <v xml:space="preserve">عملاء كاش </v>
          </cell>
          <cell r="D453" t="str">
            <v>Shorouk khaled</v>
          </cell>
        </row>
        <row r="454">
          <cell r="A454" t="str">
            <v>قرية جدو</v>
          </cell>
          <cell r="B454" t="str">
            <v>Horeca Smart</v>
          </cell>
          <cell r="C454" t="str">
            <v xml:space="preserve">عملاء كاش </v>
          </cell>
          <cell r="D454" t="str">
            <v>Reham Maher</v>
          </cell>
        </row>
        <row r="455">
          <cell r="A455" t="str">
            <v>قصر سفارى</v>
          </cell>
          <cell r="B455" t="str">
            <v>Horeca Smart</v>
          </cell>
          <cell r="C455" t="str">
            <v xml:space="preserve">عملاء كاش </v>
          </cell>
          <cell r="D455" t="str">
            <v>Mona Mohamed</v>
          </cell>
        </row>
        <row r="456">
          <cell r="A456" t="str">
            <v>كافيه بابل</v>
          </cell>
          <cell r="B456" t="str">
            <v>Horeca Smart</v>
          </cell>
          <cell r="C456" t="str">
            <v xml:space="preserve">عملاء كاش </v>
          </cell>
          <cell r="D456" t="str">
            <v>Donia Khaled</v>
          </cell>
        </row>
        <row r="457">
          <cell r="A457" t="str">
            <v>كشرى مصر - مدينة نصر</v>
          </cell>
          <cell r="B457" t="str">
            <v>Horeca Smart</v>
          </cell>
          <cell r="C457" t="str">
            <v xml:space="preserve">عملاء كاش </v>
          </cell>
          <cell r="D457" t="str">
            <v>Reham Maher</v>
          </cell>
        </row>
        <row r="458">
          <cell r="A458" t="str">
            <v>كشري ابوطارق</v>
          </cell>
          <cell r="B458" t="str">
            <v>MAS</v>
          </cell>
          <cell r="C458" t="str">
            <v xml:space="preserve">عملاء كاش </v>
          </cell>
          <cell r="D458" t="str">
            <v>Haddil Haron</v>
          </cell>
        </row>
        <row r="459">
          <cell r="A459" t="str">
            <v>كشري الدكتور</v>
          </cell>
          <cell r="B459" t="str">
            <v>Horeca Smart</v>
          </cell>
          <cell r="C459" t="str">
            <v xml:space="preserve">عملاء كاش </v>
          </cell>
          <cell r="D459" t="str">
            <v>Shorouk khaled</v>
          </cell>
        </row>
        <row r="460">
          <cell r="A460" t="str">
            <v>مطعم مدلل الشام</v>
          </cell>
          <cell r="B460" t="str">
            <v>Horeca Smart</v>
          </cell>
          <cell r="C460" t="str">
            <v xml:space="preserve">عملاء كاش </v>
          </cell>
          <cell r="D460" t="str">
            <v>Donia Khaled</v>
          </cell>
        </row>
        <row r="461">
          <cell r="A461" t="str">
            <v>مى تو للتوريدات</v>
          </cell>
          <cell r="B461" t="str">
            <v>MAS</v>
          </cell>
          <cell r="C461" t="str">
            <v xml:space="preserve">عملاء كاش </v>
          </cell>
          <cell r="D461" t="str">
            <v>Haddil Haron</v>
          </cell>
        </row>
        <row r="462">
          <cell r="A462" t="str">
            <v>B TO B</v>
          </cell>
          <cell r="B462" t="str">
            <v>Horeca Smart</v>
          </cell>
          <cell r="C462" t="str">
            <v xml:space="preserve">عملاء كاش </v>
          </cell>
          <cell r="D462" t="str">
            <v>Shorouk khaled</v>
          </cell>
        </row>
        <row r="463">
          <cell r="A463" t="str">
            <v>Bu Hub</v>
          </cell>
          <cell r="B463" t="str">
            <v>Horeca Smart</v>
          </cell>
          <cell r="C463" t="str">
            <v xml:space="preserve">عملاء كاش </v>
          </cell>
          <cell r="D463" t="str">
            <v>Reham Maher</v>
          </cell>
        </row>
        <row r="464">
          <cell r="A464" t="str">
            <v>Butlers</v>
          </cell>
          <cell r="B464" t="str">
            <v>Horeca Smart</v>
          </cell>
          <cell r="C464" t="str">
            <v xml:space="preserve">عملاء كاش </v>
          </cell>
          <cell r="D464" t="str">
            <v>Mona Mohamed</v>
          </cell>
        </row>
        <row r="465">
          <cell r="A465" t="str">
            <v>Friends</v>
          </cell>
          <cell r="B465" t="str">
            <v>Horeca Smart</v>
          </cell>
          <cell r="C465" t="str">
            <v xml:space="preserve">عملاء كاش </v>
          </cell>
          <cell r="D465" t="str">
            <v>Lames Magdy</v>
          </cell>
        </row>
        <row r="466">
          <cell r="A466" t="str">
            <v>Korean Restaurant</v>
          </cell>
          <cell r="B466" t="str">
            <v>Horeca Smart</v>
          </cell>
          <cell r="C466" t="str">
            <v xml:space="preserve">عملاء كاش </v>
          </cell>
          <cell r="D466" t="str">
            <v>Lames Magdy</v>
          </cell>
        </row>
        <row r="467">
          <cell r="A467" t="str">
            <v>Momochi - مخزن</v>
          </cell>
          <cell r="B467" t="str">
            <v>Horeca Smart</v>
          </cell>
          <cell r="C467" t="str">
            <v xml:space="preserve">عملاء كاش </v>
          </cell>
          <cell r="D467" t="str">
            <v>Mona Mohamed</v>
          </cell>
        </row>
        <row r="468">
          <cell r="A468" t="str">
            <v>Mountain cafe</v>
          </cell>
          <cell r="B468" t="str">
            <v>Horeca Smart</v>
          </cell>
          <cell r="C468" t="str">
            <v xml:space="preserve">عملاء كاش </v>
          </cell>
          <cell r="D468" t="str">
            <v>Donia Khaled</v>
          </cell>
        </row>
        <row r="469">
          <cell r="A469" t="str">
            <v>PAO</v>
          </cell>
          <cell r="B469" t="str">
            <v>Horeca Smart</v>
          </cell>
          <cell r="C469" t="str">
            <v>عملاء اجل</v>
          </cell>
          <cell r="D469" t="str">
            <v>Naden Amgad</v>
          </cell>
        </row>
        <row r="470">
          <cell r="A470" t="str">
            <v>Pan Berry</v>
          </cell>
          <cell r="B470" t="str">
            <v>Horeca Smart</v>
          </cell>
          <cell r="C470" t="str">
            <v xml:space="preserve">عملاء كاش </v>
          </cell>
          <cell r="D470" t="str">
            <v>Mona Mohamed</v>
          </cell>
        </row>
        <row r="471">
          <cell r="A471" t="str">
            <v>Princess Cafe</v>
          </cell>
          <cell r="B471" t="str">
            <v>Horeca Smart</v>
          </cell>
          <cell r="C471" t="str">
            <v xml:space="preserve">عملاء كاش </v>
          </cell>
          <cell r="D471" t="str">
            <v>Mona Mohamed</v>
          </cell>
        </row>
        <row r="472">
          <cell r="A472" t="str">
            <v>Swirkies</v>
          </cell>
          <cell r="B472" t="str">
            <v>Horeca Smart</v>
          </cell>
          <cell r="C472" t="str">
            <v xml:space="preserve">عملاء كاش </v>
          </cell>
          <cell r="D472" t="str">
            <v>Naden Amgad</v>
          </cell>
        </row>
        <row r="473">
          <cell r="A473" t="str">
            <v>the 9</v>
          </cell>
          <cell r="B473" t="str">
            <v>Horeca Smart</v>
          </cell>
          <cell r="C473" t="str">
            <v>عميل - مورد</v>
          </cell>
          <cell r="D473" t="str">
            <v>Hager Ahmed</v>
          </cell>
        </row>
        <row r="474">
          <cell r="A474" t="str">
            <v>اميجوس للتجارة</v>
          </cell>
          <cell r="B474" t="str">
            <v>Horeca Smart</v>
          </cell>
          <cell r="C474" t="str">
            <v xml:space="preserve">عملاء كاش </v>
          </cell>
          <cell r="D474" t="str">
            <v>Donia Khaled</v>
          </cell>
        </row>
        <row r="475">
          <cell r="A475" t="str">
            <v>سينور تشورو للأكلات المكسيكية</v>
          </cell>
          <cell r="B475" t="str">
            <v>Horeca Smart</v>
          </cell>
          <cell r="C475" t="str">
            <v xml:space="preserve">عملاء كاش </v>
          </cell>
          <cell r="D475" t="str">
            <v>Mona Mohamed</v>
          </cell>
        </row>
        <row r="476">
          <cell r="A476" t="str">
            <v>شركة استثمر</v>
          </cell>
          <cell r="B476" t="str">
            <v>Horeca Smart</v>
          </cell>
          <cell r="C476" t="str">
            <v xml:space="preserve">عملاء كاش </v>
          </cell>
          <cell r="D476" t="str">
            <v>Reham Maher</v>
          </cell>
        </row>
        <row r="477">
          <cell r="A477" t="str">
            <v>ليدام</v>
          </cell>
          <cell r="B477" t="str">
            <v>Horeca Smart</v>
          </cell>
          <cell r="C477" t="str">
            <v xml:space="preserve">عملاء كاش </v>
          </cell>
          <cell r="D477" t="str">
            <v>Naden Amgad</v>
          </cell>
        </row>
        <row r="478">
          <cell r="A478" t="str">
            <v>ميلانو</v>
          </cell>
          <cell r="B478" t="str">
            <v>Horeca Smart</v>
          </cell>
          <cell r="C478" t="str">
            <v xml:space="preserve">عملاء كاش </v>
          </cell>
          <cell r="D478" t="str">
            <v>Lames Magdy</v>
          </cell>
        </row>
        <row r="479">
          <cell r="A479" t="str">
            <v>AZ Black</v>
          </cell>
          <cell r="B479" t="str">
            <v>Horeca Smart</v>
          </cell>
          <cell r="C479" t="str">
            <v xml:space="preserve">عملاء كاش </v>
          </cell>
          <cell r="D479" t="str">
            <v>Mona Mohamed</v>
          </cell>
        </row>
        <row r="480">
          <cell r="A480" t="str">
            <v>Adyct’d</v>
          </cell>
          <cell r="B480" t="str">
            <v>Horeca Smart</v>
          </cell>
          <cell r="C480" t="str">
            <v xml:space="preserve">عملاء كاش </v>
          </cell>
          <cell r="D480" t="str">
            <v>Mona Mohamed</v>
          </cell>
        </row>
        <row r="481">
          <cell r="A481" t="str">
            <v>Avenue 59 cafe</v>
          </cell>
          <cell r="B481" t="str">
            <v>Horeca Smart</v>
          </cell>
          <cell r="C481" t="str">
            <v xml:space="preserve">عملاء كاش </v>
          </cell>
          <cell r="D481" t="str">
            <v>Shorouk khaled</v>
          </cell>
        </row>
        <row r="482">
          <cell r="A482" t="str">
            <v>BAR N JAR</v>
          </cell>
          <cell r="B482" t="str">
            <v>Horeca Smart</v>
          </cell>
          <cell r="C482" t="str">
            <v xml:space="preserve">عملاء كاش </v>
          </cell>
          <cell r="D482" t="str">
            <v>Mona Mohamed</v>
          </cell>
        </row>
        <row r="483">
          <cell r="A483" t="str">
            <v>Bravo Chicken</v>
          </cell>
          <cell r="B483" t="str">
            <v>Horeca Smart</v>
          </cell>
          <cell r="C483" t="str">
            <v xml:space="preserve">عملاء كاش </v>
          </cell>
          <cell r="D483" t="str">
            <v>Reham Maher</v>
          </cell>
        </row>
        <row r="484">
          <cell r="A484" t="str">
            <v>Chuky Bom</v>
          </cell>
          <cell r="B484" t="str">
            <v>Horeca Smart</v>
          </cell>
          <cell r="C484" t="str">
            <v xml:space="preserve">عملاء كاش </v>
          </cell>
          <cell r="D484" t="str">
            <v>Mona Mohamed</v>
          </cell>
        </row>
        <row r="485">
          <cell r="A485" t="str">
            <v>Ginza Sushi</v>
          </cell>
          <cell r="B485" t="str">
            <v>Horeca Smart</v>
          </cell>
          <cell r="C485" t="str">
            <v xml:space="preserve">عملاء كاش </v>
          </cell>
          <cell r="D485" t="str">
            <v>Naden Amgad</v>
          </cell>
        </row>
        <row r="486">
          <cell r="A486" t="str">
            <v>Isabelle sushi</v>
          </cell>
          <cell r="C486" t="str">
            <v xml:space="preserve">عملاء كاش </v>
          </cell>
          <cell r="D486" t="str">
            <v>Mona Mohamed</v>
          </cell>
        </row>
        <row r="487">
          <cell r="A487" t="str">
            <v>Java lava</v>
          </cell>
          <cell r="B487" t="str">
            <v>Horeca Smart</v>
          </cell>
          <cell r="C487" t="str">
            <v xml:space="preserve">عملاء كاش </v>
          </cell>
          <cell r="D487" t="str">
            <v>Reham Maher</v>
          </cell>
        </row>
        <row r="488">
          <cell r="A488" t="str">
            <v>Old Tree</v>
          </cell>
          <cell r="B488" t="str">
            <v>Horeca Smart</v>
          </cell>
          <cell r="C488" t="str">
            <v xml:space="preserve">عملاء كاش </v>
          </cell>
          <cell r="D488" t="str">
            <v>Mona Mohamed</v>
          </cell>
        </row>
        <row r="489">
          <cell r="A489" t="str">
            <v>Ryce</v>
          </cell>
          <cell r="B489" t="str">
            <v>Horeca Smart</v>
          </cell>
          <cell r="C489" t="str">
            <v xml:space="preserve">عملاء كاش </v>
          </cell>
          <cell r="D489" t="str">
            <v>Hager Ahmed</v>
          </cell>
        </row>
        <row r="490">
          <cell r="A490" t="str">
            <v>San Sebastian cheescake- Basque</v>
          </cell>
          <cell r="B490" t="str">
            <v>Horeca Smart</v>
          </cell>
          <cell r="C490" t="str">
            <v xml:space="preserve">عملاء كاش </v>
          </cell>
          <cell r="D490" t="str">
            <v>Mona Mohamed</v>
          </cell>
        </row>
        <row r="491">
          <cell r="A491" t="str">
            <v>Shots</v>
          </cell>
          <cell r="B491" t="str">
            <v>Horeca Smart</v>
          </cell>
          <cell r="C491" t="str">
            <v xml:space="preserve">عملاء كاش </v>
          </cell>
          <cell r="D491" t="str">
            <v>Shorouk khaled</v>
          </cell>
        </row>
        <row r="492">
          <cell r="A492" t="str">
            <v>Tinto, Tinto-مصر الجديدة</v>
          </cell>
          <cell r="B492" t="str">
            <v>Horeca Smart</v>
          </cell>
          <cell r="C492" t="str">
            <v xml:space="preserve">عملاء كاش </v>
          </cell>
          <cell r="D492" t="str">
            <v>Shorouk khaled</v>
          </cell>
        </row>
        <row r="493">
          <cell r="A493" t="str">
            <v>joya Gelato</v>
          </cell>
          <cell r="B493" t="str">
            <v>Horeca Smart</v>
          </cell>
          <cell r="C493" t="str">
            <v xml:space="preserve">عملاء كاش </v>
          </cell>
          <cell r="D493" t="str">
            <v>Naden Amgad</v>
          </cell>
        </row>
        <row r="494">
          <cell r="A494" t="str">
            <v>la fritzeria</v>
          </cell>
          <cell r="B494" t="str">
            <v>Horeca Smart</v>
          </cell>
          <cell r="C494" t="str">
            <v xml:space="preserve">عملاء كاش </v>
          </cell>
          <cell r="D494" t="str">
            <v>Reham Maher</v>
          </cell>
        </row>
        <row r="495">
          <cell r="A495" t="str">
            <v>أبيلا قطر النوم</v>
          </cell>
          <cell r="B495" t="str">
            <v>MAS</v>
          </cell>
          <cell r="C495" t="str">
            <v>عملاء اجل</v>
          </cell>
          <cell r="D495" t="str">
            <v>Haddil Haron</v>
          </cell>
        </row>
        <row r="496">
          <cell r="A496" t="str">
            <v>الدشاش</v>
          </cell>
          <cell r="B496" t="str">
            <v>Horeca Smart</v>
          </cell>
          <cell r="C496" t="str">
            <v xml:space="preserve">عملاء كاش </v>
          </cell>
          <cell r="D496" t="str">
            <v>Shorouk khaled</v>
          </cell>
        </row>
        <row r="497">
          <cell r="A497" t="str">
            <v>السعيد لمستلزمات الكافيهات</v>
          </cell>
          <cell r="B497" t="str">
            <v>Horeca Smart</v>
          </cell>
          <cell r="C497" t="str">
            <v xml:space="preserve">عملاء كاش </v>
          </cell>
          <cell r="D497" t="str">
            <v>Hager Ahmed</v>
          </cell>
        </row>
        <row r="498">
          <cell r="A498" t="str">
            <v>السلام</v>
          </cell>
          <cell r="B498" t="str">
            <v>Horeca Smart</v>
          </cell>
          <cell r="C498" t="str">
            <v xml:space="preserve">عملاء كاش </v>
          </cell>
          <cell r="D498" t="str">
            <v>Shorouk khaled</v>
          </cell>
        </row>
        <row r="499">
          <cell r="A499" t="str">
            <v>بن الذهبي</v>
          </cell>
          <cell r="B499" t="str">
            <v>Horeca Smart</v>
          </cell>
          <cell r="C499" t="str">
            <v xml:space="preserve">عملاء كاش </v>
          </cell>
          <cell r="D499" t="str">
            <v>Mona Mohamed</v>
          </cell>
        </row>
        <row r="500">
          <cell r="A500" t="str">
            <v>بيتزا المهندسين</v>
          </cell>
          <cell r="D500" t="str">
            <v>Reham Maher</v>
          </cell>
        </row>
        <row r="501">
          <cell r="A501" t="str">
            <v>بيلا بيتزا</v>
          </cell>
          <cell r="B501" t="str">
            <v>Horeca Smart</v>
          </cell>
          <cell r="C501" t="str">
            <v xml:space="preserve">عملاء كاش </v>
          </cell>
          <cell r="D501" t="str">
            <v>Naden Amgad</v>
          </cell>
        </row>
        <row r="502">
          <cell r="A502" t="str">
            <v>ذا بيكرز</v>
          </cell>
          <cell r="B502" t="str">
            <v>Horeca Smart</v>
          </cell>
          <cell r="C502" t="str">
            <v xml:space="preserve">عملاء كاش </v>
          </cell>
          <cell r="D502" t="str">
            <v>Naden Amgad</v>
          </cell>
        </row>
        <row r="503">
          <cell r="A503" t="str">
            <v>سعودي فود</v>
          </cell>
          <cell r="B503" t="str">
            <v>Horeca Smart</v>
          </cell>
          <cell r="C503" t="str">
            <v xml:space="preserve">عملاء كاش </v>
          </cell>
          <cell r="D503" t="str">
            <v>Lames Magdy</v>
          </cell>
        </row>
        <row r="504">
          <cell r="A504" t="str">
            <v>شركة البيوتى</v>
          </cell>
          <cell r="B504" t="str">
            <v>Horeca Smart</v>
          </cell>
          <cell r="C504" t="str">
            <v xml:space="preserve">عملاء كاش </v>
          </cell>
          <cell r="D504" t="str">
            <v>Naden Amgad</v>
          </cell>
        </row>
        <row r="505">
          <cell r="A505" t="str">
            <v>شركة جود لايف</v>
          </cell>
          <cell r="B505" t="str">
            <v>Horeca Smart</v>
          </cell>
          <cell r="C505" t="str">
            <v xml:space="preserve">عملاء كاش </v>
          </cell>
          <cell r="D505" t="str">
            <v>Reham Maher</v>
          </cell>
        </row>
        <row r="506">
          <cell r="A506" t="str">
            <v>شركة ساروجا</v>
          </cell>
          <cell r="B506" t="str">
            <v>MAS</v>
          </cell>
          <cell r="C506" t="str">
            <v xml:space="preserve">عملاء كاش </v>
          </cell>
          <cell r="D506" t="str">
            <v>Haddil Haron</v>
          </cell>
        </row>
        <row r="507">
          <cell r="A507" t="str">
            <v>كافيه بساطة</v>
          </cell>
          <cell r="B507" t="str">
            <v>Horeca Smart</v>
          </cell>
          <cell r="C507" t="str">
            <v xml:space="preserve">عملاء كاش </v>
          </cell>
          <cell r="D507" t="str">
            <v>Reham Maher</v>
          </cell>
        </row>
        <row r="508">
          <cell r="A508" t="str">
            <v>لاجولي</v>
          </cell>
          <cell r="B508" t="str">
            <v>Horeca Smart</v>
          </cell>
          <cell r="C508" t="str">
            <v xml:space="preserve">عملاء كاش </v>
          </cell>
          <cell r="D508" t="str">
            <v>Donia Khaled</v>
          </cell>
        </row>
        <row r="509">
          <cell r="A509" t="str">
            <v>محمد عيد توريدات</v>
          </cell>
          <cell r="B509" t="str">
            <v>MAS</v>
          </cell>
          <cell r="C509" t="str">
            <v xml:space="preserve">عملاء كاش </v>
          </cell>
          <cell r="D509" t="str">
            <v>Haddil Haron</v>
          </cell>
        </row>
        <row r="510">
          <cell r="A510" t="str">
            <v>مطعم كدا كدا</v>
          </cell>
          <cell r="B510" t="str">
            <v>Horeca Smart</v>
          </cell>
          <cell r="C510" t="str">
            <v xml:space="preserve">عملاء كاش </v>
          </cell>
          <cell r="D510" t="str">
            <v>Naden Amgad</v>
          </cell>
        </row>
        <row r="511">
          <cell r="A511" t="str">
            <v>ميسو</v>
          </cell>
          <cell r="B511" t="str">
            <v>MAS</v>
          </cell>
          <cell r="C511" t="str">
            <v>عملاء اجل</v>
          </cell>
          <cell r="D511" t="str">
            <v>Haddil Haron</v>
          </cell>
        </row>
        <row r="512">
          <cell r="A512" t="str">
            <v>نادي الحرية (اسماعيل)</v>
          </cell>
          <cell r="B512" t="str">
            <v>Horeca Smart</v>
          </cell>
          <cell r="C512" t="str">
            <v xml:space="preserve">عملاء كاش </v>
          </cell>
          <cell r="D512" t="str">
            <v>Lames Magdy</v>
          </cell>
        </row>
        <row r="513">
          <cell r="A513" t="str">
            <v>هوليكس كافيه</v>
          </cell>
          <cell r="B513" t="str">
            <v>Horeca Smart</v>
          </cell>
          <cell r="C513" t="str">
            <v xml:space="preserve">عملاء كاش </v>
          </cell>
          <cell r="D513" t="str">
            <v>Donia Khaled</v>
          </cell>
        </row>
        <row r="514">
          <cell r="A514" t="str">
            <v>360 cafe</v>
          </cell>
          <cell r="B514" t="str">
            <v>Horeca Smart</v>
          </cell>
          <cell r="C514" t="str">
            <v xml:space="preserve">عملاء كاش </v>
          </cell>
          <cell r="D514" t="str">
            <v>Naden Amgad</v>
          </cell>
        </row>
        <row r="515">
          <cell r="A515" t="str">
            <v>Golden K Crunchy</v>
          </cell>
          <cell r="B515" t="str">
            <v>Horeca Smart</v>
          </cell>
          <cell r="C515" t="str">
            <v xml:space="preserve">عملاء كاش </v>
          </cell>
          <cell r="D515" t="str">
            <v>Rasha Hassan</v>
          </cell>
        </row>
        <row r="516">
          <cell r="A516" t="str">
            <v>Hashvill</v>
          </cell>
          <cell r="B516" t="str">
            <v>Horeca Smart</v>
          </cell>
          <cell r="C516" t="str">
            <v xml:space="preserve">عملاء كاش </v>
          </cell>
          <cell r="D516" t="str">
            <v>Mona Mohamed</v>
          </cell>
        </row>
        <row r="517">
          <cell r="A517" t="str">
            <v>Ice coffee</v>
          </cell>
          <cell r="B517" t="str">
            <v>Horeca Smart</v>
          </cell>
          <cell r="C517" t="str">
            <v xml:space="preserve">عملاء كاش </v>
          </cell>
          <cell r="D517" t="str">
            <v>Reham Maher</v>
          </cell>
        </row>
        <row r="518">
          <cell r="A518" t="str">
            <v>Indian Masala House</v>
          </cell>
          <cell r="B518" t="str">
            <v>Horeca Smart</v>
          </cell>
          <cell r="C518" t="str">
            <v xml:space="preserve">عملاء كاش </v>
          </cell>
          <cell r="D518" t="str">
            <v>Reham Maher</v>
          </cell>
        </row>
        <row r="519">
          <cell r="A519" t="str">
            <v>Sugar - شبين القناطر</v>
          </cell>
          <cell r="B519" t="str">
            <v>Horeca Smart</v>
          </cell>
          <cell r="C519" t="str">
            <v xml:space="preserve">عملاء كاش </v>
          </cell>
          <cell r="D519" t="str">
            <v>Lames Magdy</v>
          </cell>
        </row>
        <row r="520">
          <cell r="A520" t="str">
            <v>Tastio</v>
          </cell>
          <cell r="B520" t="str">
            <v>Horeca Smart</v>
          </cell>
          <cell r="C520" t="str">
            <v xml:space="preserve">عملاء كاش </v>
          </cell>
          <cell r="D520" t="str">
            <v>Donia Khaled</v>
          </cell>
        </row>
        <row r="521">
          <cell r="A521" t="str">
            <v>Tea house</v>
          </cell>
          <cell r="B521" t="str">
            <v>Horeca Smart</v>
          </cell>
          <cell r="C521" t="str">
            <v xml:space="preserve">عملاء كاش </v>
          </cell>
          <cell r="D521" t="str">
            <v>Mona Mohamed</v>
          </cell>
        </row>
        <row r="522">
          <cell r="A522" t="str">
            <v>khf for food industries</v>
          </cell>
          <cell r="B522" t="str">
            <v>MAS</v>
          </cell>
          <cell r="C522" t="str">
            <v xml:space="preserve">عملاء كاش </v>
          </cell>
          <cell r="D522" t="str">
            <v>Mona Mohamed</v>
          </cell>
        </row>
        <row r="523">
          <cell r="A523" t="str">
            <v>آل العالمي -الجيزة</v>
          </cell>
          <cell r="B523" t="str">
            <v>Horeca Smart</v>
          </cell>
          <cell r="C523" t="str">
            <v xml:space="preserve">عملاء كاش </v>
          </cell>
          <cell r="D523" t="str">
            <v>Shorouk khaled</v>
          </cell>
        </row>
        <row r="524">
          <cell r="A524" t="str">
            <v>إيه أم سي للتجارة العامة</v>
          </cell>
          <cell r="B524" t="str">
            <v>Horeca Smart</v>
          </cell>
          <cell r="C524" t="str">
            <v xml:space="preserve">عملاء كاش </v>
          </cell>
          <cell r="D524" t="str">
            <v>Donia Khaled</v>
          </cell>
        </row>
        <row r="525">
          <cell r="A525" t="str">
            <v>اسماك ابن حميدو</v>
          </cell>
          <cell r="B525" t="str">
            <v>Horeca Smart</v>
          </cell>
          <cell r="C525" t="str">
            <v xml:space="preserve">عملاء كاش </v>
          </cell>
          <cell r="D525" t="str">
            <v>Reham Maher</v>
          </cell>
        </row>
        <row r="526">
          <cell r="A526" t="str">
            <v>الرواد</v>
          </cell>
          <cell r="B526" t="str">
            <v>Horeca Smart</v>
          </cell>
          <cell r="C526" t="str">
            <v xml:space="preserve">عملاء كاش </v>
          </cell>
          <cell r="D526" t="str">
            <v>Shorouk khaled</v>
          </cell>
        </row>
        <row r="527">
          <cell r="A527" t="str">
            <v>بن قبرص</v>
          </cell>
          <cell r="B527" t="str">
            <v>Horeca Smart</v>
          </cell>
          <cell r="C527" t="str">
            <v xml:space="preserve">عملاء كاش </v>
          </cell>
          <cell r="D527" t="str">
            <v>Donia Khaled</v>
          </cell>
        </row>
        <row r="528">
          <cell r="A528" t="str">
            <v>بندق</v>
          </cell>
          <cell r="B528" t="str">
            <v>Horeca Smart</v>
          </cell>
          <cell r="C528" t="str">
            <v xml:space="preserve">عملاء كاش </v>
          </cell>
          <cell r="D528" t="str">
            <v>Donia Khaled</v>
          </cell>
        </row>
        <row r="529">
          <cell r="A529" t="str">
            <v>بيتزا نور الصباح</v>
          </cell>
          <cell r="B529" t="str">
            <v>Horeca Smart</v>
          </cell>
          <cell r="C529" t="str">
            <v xml:space="preserve">عملاء كاش </v>
          </cell>
          <cell r="D529" t="str">
            <v>Reham Maher</v>
          </cell>
        </row>
        <row r="530">
          <cell r="A530" t="str">
            <v>تمر حنة</v>
          </cell>
          <cell r="B530" t="str">
            <v>Horeca Smart</v>
          </cell>
          <cell r="C530" t="str">
            <v xml:space="preserve">عملاء كاش </v>
          </cell>
          <cell r="D530" t="str">
            <v>Reham Maher</v>
          </cell>
        </row>
        <row r="531">
          <cell r="A531" t="str">
            <v>جويا سوشي - المخزن</v>
          </cell>
          <cell r="B531" t="str">
            <v>Horeca Smart</v>
          </cell>
          <cell r="C531" t="str">
            <v xml:space="preserve">عملاء كاش </v>
          </cell>
          <cell r="D531" t="str">
            <v>Mona Mohamed</v>
          </cell>
        </row>
        <row r="532">
          <cell r="A532" t="str">
            <v>حلواني الدمياطى</v>
          </cell>
          <cell r="B532" t="str">
            <v>Horeca Smart</v>
          </cell>
          <cell r="C532" t="str">
            <v xml:space="preserve">عملاء كاش </v>
          </cell>
          <cell r="D532" t="str">
            <v>Naden Amgad</v>
          </cell>
        </row>
        <row r="533">
          <cell r="A533" t="str">
            <v>روبلس للتوريدات العمومية</v>
          </cell>
          <cell r="B533" t="str">
            <v>MAS</v>
          </cell>
          <cell r="C533" t="str">
            <v xml:space="preserve">عملاء كاش </v>
          </cell>
          <cell r="D533" t="str">
            <v>Haddil Haron</v>
          </cell>
        </row>
        <row r="534">
          <cell r="A534" t="str">
            <v>سي بابا</v>
          </cell>
          <cell r="B534" t="str">
            <v>Horeca Smart</v>
          </cell>
          <cell r="C534" t="str">
            <v xml:space="preserve">عملاء كاش </v>
          </cell>
          <cell r="D534" t="str">
            <v>Shorouk khaled</v>
          </cell>
        </row>
        <row r="535">
          <cell r="A535" t="str">
            <v>شركة سافي للتوريدات</v>
          </cell>
          <cell r="B535" t="str">
            <v>Horeca Smart</v>
          </cell>
          <cell r="C535" t="str">
            <v xml:space="preserve">عملاء كاش </v>
          </cell>
          <cell r="D535" t="str">
            <v>Donia Khaled</v>
          </cell>
        </row>
        <row r="536">
          <cell r="A536" t="str">
            <v>كشري وبروست بحر</v>
          </cell>
          <cell r="B536" t="str">
            <v>Horeca Smart</v>
          </cell>
          <cell r="C536" t="str">
            <v xml:space="preserve">عملاء كاش </v>
          </cell>
          <cell r="D536" t="str">
            <v>Naden Amgad</v>
          </cell>
        </row>
        <row r="537">
          <cell r="A537" t="str">
            <v>مارينجو</v>
          </cell>
          <cell r="B537" t="str">
            <v>Horeca Smart</v>
          </cell>
          <cell r="C537" t="str">
            <v>عملاء اجل</v>
          </cell>
          <cell r="D537" t="str">
            <v>Naden Amgad</v>
          </cell>
        </row>
        <row r="538">
          <cell r="A538" t="str">
            <v>مطعم البركة</v>
          </cell>
          <cell r="B538" t="str">
            <v>Horeca Smart</v>
          </cell>
          <cell r="C538" t="str">
            <v xml:space="preserve">عملاء كاش </v>
          </cell>
          <cell r="D538" t="str">
            <v>Lames Magdy</v>
          </cell>
        </row>
        <row r="539">
          <cell r="A539" t="str">
            <v>مطعم سبايسي</v>
          </cell>
          <cell r="B539" t="str">
            <v>Horeca Smart</v>
          </cell>
          <cell r="C539" t="str">
            <v xml:space="preserve">عملاء كاش </v>
          </cell>
          <cell r="D539" t="str">
            <v>Reham Maher</v>
          </cell>
        </row>
        <row r="540">
          <cell r="A540" t="str">
            <v>Arabian Cafe -6 اكتوبر</v>
          </cell>
          <cell r="B540" t="str">
            <v>Horeca Smart</v>
          </cell>
          <cell r="C540" t="str">
            <v xml:space="preserve">عملاء كاش </v>
          </cell>
          <cell r="D540" t="str">
            <v>Shorouk khaled</v>
          </cell>
        </row>
        <row r="541">
          <cell r="A541" t="str">
            <v>Be In Coffee</v>
          </cell>
          <cell r="B541" t="str">
            <v>Horeca Smart</v>
          </cell>
          <cell r="C541" t="str">
            <v xml:space="preserve">عملاء كاش </v>
          </cell>
          <cell r="D541" t="str">
            <v>Naden Amgad</v>
          </cell>
        </row>
        <row r="542">
          <cell r="A542" t="str">
            <v>CRYSTAL Cafe&amp;Restaurant</v>
          </cell>
          <cell r="B542" t="str">
            <v>Horeca Smart</v>
          </cell>
          <cell r="C542" t="str">
            <v xml:space="preserve">عملاء كاش </v>
          </cell>
          <cell r="D542" t="str">
            <v>Mona Mohamed</v>
          </cell>
        </row>
        <row r="543">
          <cell r="A543" t="str">
            <v>Cherriez</v>
          </cell>
          <cell r="B543" t="str">
            <v>Horeca Smart</v>
          </cell>
          <cell r="C543" t="str">
            <v xml:space="preserve">عملاء كاش </v>
          </cell>
          <cell r="D543" t="str">
            <v>Mona Mohamed</v>
          </cell>
        </row>
        <row r="544">
          <cell r="A544" t="str">
            <v>Cio</v>
          </cell>
          <cell r="B544" t="str">
            <v>Horeca Smart</v>
          </cell>
          <cell r="C544" t="str">
            <v xml:space="preserve">عملاء كاش </v>
          </cell>
          <cell r="D544" t="str">
            <v>Shorouk khaled</v>
          </cell>
        </row>
        <row r="545">
          <cell r="A545" t="str">
            <v>DOLCIMA DONUTS</v>
          </cell>
          <cell r="B545" t="str">
            <v>Horeca Smart</v>
          </cell>
          <cell r="C545" t="str">
            <v xml:space="preserve">عملاء كاش </v>
          </cell>
          <cell r="D545" t="str">
            <v>Naden Amgad</v>
          </cell>
        </row>
        <row r="546">
          <cell r="A546" t="str">
            <v>Dash cafe&amp;Restaurant, Dash cafe&amp;Restaurant, اكتوبر</v>
          </cell>
          <cell r="B546" t="str">
            <v>Horeca Smart</v>
          </cell>
          <cell r="C546" t="str">
            <v xml:space="preserve">عملاء كاش </v>
          </cell>
          <cell r="D546" t="str">
            <v>Naden Amgad</v>
          </cell>
        </row>
        <row r="547">
          <cell r="A547" t="str">
            <v>Douple T</v>
          </cell>
          <cell r="B547" t="str">
            <v>Horeca Smart</v>
          </cell>
          <cell r="C547" t="str">
            <v xml:space="preserve">عملاء كاش </v>
          </cell>
          <cell r="D547" t="str">
            <v>Reham Maher</v>
          </cell>
        </row>
        <row r="548">
          <cell r="A548" t="str">
            <v>Hochi</v>
          </cell>
          <cell r="B548" t="str">
            <v>Horeca Smart</v>
          </cell>
          <cell r="C548" t="str">
            <v xml:space="preserve">عملاء كاش </v>
          </cell>
          <cell r="D548" t="str">
            <v>Lames Magdy</v>
          </cell>
        </row>
        <row r="549">
          <cell r="A549" t="str">
            <v>Lily's Restaurant&amp;cafe</v>
          </cell>
          <cell r="B549" t="str">
            <v>Horeca Smart</v>
          </cell>
          <cell r="C549" t="str">
            <v xml:space="preserve">عملاء كاش </v>
          </cell>
          <cell r="D549" t="str">
            <v>Naden Amgad</v>
          </cell>
        </row>
        <row r="550">
          <cell r="A550" t="str">
            <v>Me &amp; You Cafe&amp;Restaurant</v>
          </cell>
          <cell r="B550" t="str">
            <v>Horeca Smart</v>
          </cell>
          <cell r="C550" t="str">
            <v xml:space="preserve">عملاء كاش </v>
          </cell>
          <cell r="D550" t="str">
            <v>Mona Mohamed</v>
          </cell>
        </row>
        <row r="551">
          <cell r="A551" t="str">
            <v>Morny's kitchen</v>
          </cell>
          <cell r="B551" t="str">
            <v>Horeca Smart</v>
          </cell>
          <cell r="C551" t="str">
            <v xml:space="preserve">عملاء كاش </v>
          </cell>
          <cell r="D551" t="str">
            <v>Mona Mohamed</v>
          </cell>
        </row>
        <row r="552">
          <cell r="A552" t="str">
            <v>Mr Chicken</v>
          </cell>
          <cell r="B552" t="str">
            <v>Horeca Smart</v>
          </cell>
          <cell r="C552" t="str">
            <v xml:space="preserve">عملاء كاش </v>
          </cell>
          <cell r="D552" t="str">
            <v>Mona Mohamed</v>
          </cell>
        </row>
        <row r="553">
          <cell r="A553" t="str">
            <v>Pengu Port</v>
          </cell>
          <cell r="B553" t="str">
            <v>Horeca Smart</v>
          </cell>
          <cell r="C553" t="str">
            <v xml:space="preserve">عملاء كاش </v>
          </cell>
          <cell r="D553" t="str">
            <v>Hager Ahmed</v>
          </cell>
        </row>
        <row r="554">
          <cell r="A554" t="str">
            <v>Pizza Pieco</v>
          </cell>
          <cell r="B554" t="str">
            <v>Horeca Smart</v>
          </cell>
          <cell r="C554" t="str">
            <v xml:space="preserve">عملاء كاش </v>
          </cell>
          <cell r="D554" t="str">
            <v>Hager Ahmed</v>
          </cell>
        </row>
        <row r="555">
          <cell r="A555" t="str">
            <v>Pump Roosters</v>
          </cell>
          <cell r="B555" t="str">
            <v>Horeca Smart</v>
          </cell>
          <cell r="C555" t="str">
            <v xml:space="preserve">عملاء كاش </v>
          </cell>
          <cell r="D555" t="str">
            <v>Mona Mohamed</v>
          </cell>
        </row>
        <row r="556">
          <cell r="A556" t="str">
            <v>Santa lounge</v>
          </cell>
          <cell r="B556" t="str">
            <v>Horeca Smart</v>
          </cell>
          <cell r="C556" t="str">
            <v xml:space="preserve">عملاء كاش </v>
          </cell>
          <cell r="D556" t="str">
            <v>Naden Amgad</v>
          </cell>
        </row>
        <row r="557">
          <cell r="A557" t="str">
            <v>Simonds Bakery</v>
          </cell>
          <cell r="B557" t="str">
            <v>MAS</v>
          </cell>
          <cell r="C557" t="str">
            <v>عملاء اجل</v>
          </cell>
          <cell r="D557" t="str">
            <v>Haddil Haron</v>
          </cell>
        </row>
        <row r="558">
          <cell r="A558" t="str">
            <v>Station</v>
          </cell>
          <cell r="B558" t="str">
            <v>Horeca Smart</v>
          </cell>
          <cell r="C558" t="str">
            <v xml:space="preserve">عملاء كاش </v>
          </cell>
          <cell r="D558" t="str">
            <v>Donia Khaled</v>
          </cell>
        </row>
        <row r="559">
          <cell r="A559" t="str">
            <v>Vamos</v>
          </cell>
          <cell r="B559" t="str">
            <v>Horeca Smart</v>
          </cell>
          <cell r="C559" t="str">
            <v xml:space="preserve">عملاء كاش </v>
          </cell>
          <cell r="D559" t="str">
            <v>Shorouk khaled</v>
          </cell>
        </row>
        <row r="560">
          <cell r="A560" t="str">
            <v>Wide eye</v>
          </cell>
          <cell r="B560" t="str">
            <v>Horeca Smart</v>
          </cell>
          <cell r="C560" t="str">
            <v xml:space="preserve">عملاء كاش </v>
          </cell>
          <cell r="D560" t="str">
            <v>Mona Mohamed</v>
          </cell>
        </row>
        <row r="561">
          <cell r="A561" t="str">
            <v>juicy station</v>
          </cell>
          <cell r="B561" t="str">
            <v>Horeca Smart</v>
          </cell>
          <cell r="C561" t="str">
            <v xml:space="preserve">عملاء كاش </v>
          </cell>
          <cell r="D561" t="str">
            <v>Shorouk khaled</v>
          </cell>
        </row>
        <row r="562">
          <cell r="A562" t="str">
            <v>أبو رامى السورى</v>
          </cell>
          <cell r="B562" t="str">
            <v>Horeca Smart</v>
          </cell>
          <cell r="C562" t="str">
            <v xml:space="preserve">عملاء كاش </v>
          </cell>
          <cell r="D562" t="str">
            <v>Mona Mohamed</v>
          </cell>
        </row>
        <row r="563">
          <cell r="A563" t="str">
            <v>اسماك بحري</v>
          </cell>
          <cell r="B563" t="str">
            <v>Horeca Smart</v>
          </cell>
          <cell r="C563" t="str">
            <v xml:space="preserve">عملاء كاش </v>
          </cell>
          <cell r="D563" t="str">
            <v>Lames Magdy</v>
          </cell>
        </row>
        <row r="564">
          <cell r="A564" t="str">
            <v>التيسير</v>
          </cell>
          <cell r="B564" t="str">
            <v>MAS</v>
          </cell>
          <cell r="C564" t="str">
            <v xml:space="preserve">عملاء كاش </v>
          </cell>
          <cell r="D564" t="str">
            <v>Haddil Haron</v>
          </cell>
        </row>
        <row r="565">
          <cell r="A565" t="str">
            <v>الصمدى</v>
          </cell>
          <cell r="B565" t="str">
            <v>MAS</v>
          </cell>
          <cell r="C565" t="str">
            <v>عملاء اجل</v>
          </cell>
          <cell r="D565" t="str">
            <v>Haddil Haron</v>
          </cell>
        </row>
        <row r="566">
          <cell r="A566" t="str">
            <v>اولاد الشيخ -توريدات</v>
          </cell>
          <cell r="B566" t="str">
            <v>Horeca Smart</v>
          </cell>
          <cell r="C566" t="str">
            <v xml:space="preserve">عملاء كاش </v>
          </cell>
          <cell r="D566" t="str">
            <v>Shorouk khaled</v>
          </cell>
        </row>
        <row r="567">
          <cell r="A567" t="str">
            <v>بيتزا الشيخ -فيصل</v>
          </cell>
          <cell r="B567" t="str">
            <v>Horeca Smart</v>
          </cell>
          <cell r="C567" t="str">
            <v xml:space="preserve">عملاء كاش </v>
          </cell>
          <cell r="D567" t="str">
            <v>Mona Mohamed</v>
          </cell>
        </row>
        <row r="568">
          <cell r="A568" t="str">
            <v>بيتزا زهرة البنفسج</v>
          </cell>
          <cell r="B568" t="str">
            <v>Horeca Smart</v>
          </cell>
          <cell r="C568" t="str">
            <v xml:space="preserve">عملاء كاش </v>
          </cell>
          <cell r="D568" t="str">
            <v>Mona Mohamed</v>
          </cell>
        </row>
        <row r="569">
          <cell r="A569" t="str">
            <v>بيتزا ماجيك</v>
          </cell>
          <cell r="B569" t="str">
            <v>Horeca Smart</v>
          </cell>
          <cell r="C569" t="str">
            <v xml:space="preserve">عملاء كاش </v>
          </cell>
          <cell r="D569" t="str">
            <v>Lames Magdy</v>
          </cell>
        </row>
        <row r="570">
          <cell r="A570" t="str">
            <v>تست بيلا</v>
          </cell>
          <cell r="B570" t="str">
            <v>Horeca Smart</v>
          </cell>
          <cell r="C570" t="str">
            <v xml:space="preserve">عملاء كاش </v>
          </cell>
          <cell r="D570" t="str">
            <v>Rasha Hassan</v>
          </cell>
        </row>
        <row r="571">
          <cell r="A571" t="str">
            <v>تشارلي - Charly</v>
          </cell>
          <cell r="B571" t="str">
            <v>Horeca Smart</v>
          </cell>
          <cell r="C571" t="str">
            <v xml:space="preserve">عملاء كاش </v>
          </cell>
          <cell r="D571" t="str">
            <v>Shorouk khaled</v>
          </cell>
        </row>
        <row r="572">
          <cell r="A572" t="str">
            <v>توليفه</v>
          </cell>
          <cell r="B572" t="str">
            <v>Horeca Smart</v>
          </cell>
          <cell r="C572" t="str">
            <v xml:space="preserve">عملاء كاش </v>
          </cell>
          <cell r="D572" t="str">
            <v>Shorouk khaled</v>
          </cell>
        </row>
        <row r="573">
          <cell r="A573" t="str">
            <v>حلو وحادق</v>
          </cell>
          <cell r="B573" t="str">
            <v>Horeca Smart</v>
          </cell>
          <cell r="C573" t="str">
            <v xml:space="preserve">عملاء كاش </v>
          </cell>
          <cell r="D573" t="str">
            <v>Donia Khaled</v>
          </cell>
        </row>
        <row r="574">
          <cell r="A574" t="str">
            <v>خليه وكرك</v>
          </cell>
          <cell r="B574" t="str">
            <v>Horeca Smart</v>
          </cell>
          <cell r="C574" t="str">
            <v xml:space="preserve">عملاء كاش </v>
          </cell>
          <cell r="D574" t="str">
            <v>Hager Ahmed</v>
          </cell>
        </row>
        <row r="575">
          <cell r="A575" t="str">
            <v>سكاي سيتي</v>
          </cell>
          <cell r="B575" t="str">
            <v>Horeca Smart</v>
          </cell>
          <cell r="C575" t="str">
            <v xml:space="preserve">عملاء كاش </v>
          </cell>
          <cell r="D575" t="str">
            <v>Reham Maher</v>
          </cell>
        </row>
        <row r="576">
          <cell r="A576" t="str">
            <v>شركة الوفاق للاستشارات</v>
          </cell>
          <cell r="B576" t="str">
            <v>Horeca Smart</v>
          </cell>
          <cell r="C576" t="str">
            <v xml:space="preserve">عملاء كاش </v>
          </cell>
          <cell r="D576" t="str">
            <v>Naden Amgad</v>
          </cell>
        </row>
        <row r="577">
          <cell r="A577" t="str">
            <v>شركة تروس للتوريدات والمقاولات</v>
          </cell>
          <cell r="B577" t="str">
            <v>Horeca Smart</v>
          </cell>
          <cell r="C577" t="str">
            <v xml:space="preserve">عملاء كاش </v>
          </cell>
          <cell r="D577" t="str">
            <v>Naden Amgad</v>
          </cell>
        </row>
        <row r="578">
          <cell r="A578" t="str">
            <v>شركة تيستينا</v>
          </cell>
          <cell r="B578" t="str">
            <v>Horeca Smart</v>
          </cell>
          <cell r="C578" t="str">
            <v xml:space="preserve">عملاء كاش </v>
          </cell>
          <cell r="D578" t="str">
            <v>Reham Maher</v>
          </cell>
        </row>
        <row r="579">
          <cell r="A579" t="str">
            <v>شركة سبلايد للتجارة الالكترونية</v>
          </cell>
          <cell r="B579" t="str">
            <v>Horeca Smart</v>
          </cell>
          <cell r="C579" t="str">
            <v xml:space="preserve">عملاء كاش </v>
          </cell>
          <cell r="D579" t="str">
            <v>Reham Maher</v>
          </cell>
        </row>
        <row r="580">
          <cell r="A580" t="str">
            <v>فرغلي درينك</v>
          </cell>
          <cell r="B580" t="str">
            <v>Horeca Smart</v>
          </cell>
          <cell r="C580" t="str">
            <v xml:space="preserve">عملاء كاش </v>
          </cell>
          <cell r="D580" t="str">
            <v>Donia Khaled</v>
          </cell>
        </row>
        <row r="581">
          <cell r="A581" t="str">
            <v>فطير بابا مزارع ماما</v>
          </cell>
          <cell r="B581" t="str">
            <v>Horeca Smart</v>
          </cell>
          <cell r="C581" t="str">
            <v xml:space="preserve">عملاء كاش </v>
          </cell>
          <cell r="D581" t="str">
            <v>Naden Amgad</v>
          </cell>
        </row>
        <row r="582">
          <cell r="A582" t="str">
            <v>فويا</v>
          </cell>
          <cell r="B582" t="str">
            <v>Horeca Smart</v>
          </cell>
          <cell r="C582" t="str">
            <v xml:space="preserve">عملاء كاش </v>
          </cell>
          <cell r="D582" t="str">
            <v>Mona Mohamed</v>
          </cell>
        </row>
        <row r="583">
          <cell r="A583" t="str">
            <v>كافيه البركه</v>
          </cell>
          <cell r="B583" t="str">
            <v>Horeca Smart</v>
          </cell>
          <cell r="C583" t="str">
            <v xml:space="preserve">عملاء كاش </v>
          </cell>
          <cell r="D583" t="str">
            <v>Donia Khaled</v>
          </cell>
        </row>
        <row r="584">
          <cell r="A584" t="str">
            <v>كافيه الحاره</v>
          </cell>
          <cell r="B584" t="str">
            <v>Horeca Smart</v>
          </cell>
          <cell r="C584" t="str">
            <v xml:space="preserve">عملاء كاش </v>
          </cell>
          <cell r="D584" t="str">
            <v>Mona Mohamed</v>
          </cell>
        </row>
        <row r="585">
          <cell r="A585" t="str">
            <v>كافيه الفتح</v>
          </cell>
          <cell r="B585" t="str">
            <v>Horeca Smart</v>
          </cell>
          <cell r="C585" t="str">
            <v xml:space="preserve">عملاء كاش </v>
          </cell>
          <cell r="D585" t="str">
            <v>Hager Ahmed</v>
          </cell>
        </row>
        <row r="586">
          <cell r="A586" t="str">
            <v>كرسبي, كرسبي, كرسبي - مكرم عبيد</v>
          </cell>
          <cell r="B586" t="str">
            <v>Horeca Smart</v>
          </cell>
          <cell r="C586" t="str">
            <v xml:space="preserve">عملاء كاش </v>
          </cell>
          <cell r="D586" t="str">
            <v>Reham Maher</v>
          </cell>
        </row>
        <row r="587">
          <cell r="A587" t="str">
            <v>كريم كريب</v>
          </cell>
          <cell r="B587" t="str">
            <v>Horeca Smart</v>
          </cell>
          <cell r="C587" t="str">
            <v xml:space="preserve">عملاء كاش </v>
          </cell>
          <cell r="D587" t="str">
            <v>Donia Khaled</v>
          </cell>
        </row>
        <row r="588">
          <cell r="A588" t="str">
            <v>كشري الرحماني</v>
          </cell>
          <cell r="B588" t="str">
            <v>Horeca Smart</v>
          </cell>
          <cell r="C588" t="str">
            <v xml:space="preserve">عملاء كاش </v>
          </cell>
          <cell r="D588" t="str">
            <v>Lames Magdy</v>
          </cell>
        </row>
        <row r="589">
          <cell r="A589" t="str">
            <v>كوفي ايلاند</v>
          </cell>
          <cell r="B589" t="str">
            <v>Horeca Smart</v>
          </cell>
          <cell r="C589" t="str">
            <v xml:space="preserve">عملاء كاش </v>
          </cell>
          <cell r="D589" t="str">
            <v>Shorouk khaled</v>
          </cell>
        </row>
        <row r="590">
          <cell r="A590" t="str">
            <v>لاكازينا</v>
          </cell>
          <cell r="B590" t="str">
            <v>Horeca Smart</v>
          </cell>
          <cell r="C590" t="str">
            <v xml:space="preserve">عملاء كاش </v>
          </cell>
          <cell r="D590" t="str">
            <v>Reham Maher</v>
          </cell>
        </row>
        <row r="591">
          <cell r="A591" t="str">
            <v>محمود سليمان توريدات</v>
          </cell>
          <cell r="B591" t="str">
            <v>MAS</v>
          </cell>
          <cell r="C591" t="str">
            <v xml:space="preserve">عملاء كاش </v>
          </cell>
          <cell r="D591" t="str">
            <v>Haddil Haron</v>
          </cell>
        </row>
        <row r="592">
          <cell r="A592" t="str">
            <v>مخبز باريس</v>
          </cell>
          <cell r="B592" t="str">
            <v>Horeca Smart</v>
          </cell>
          <cell r="C592" t="str">
            <v xml:space="preserve">عملاء كاش </v>
          </cell>
          <cell r="D592" t="str">
            <v>Naden Amgad</v>
          </cell>
        </row>
        <row r="593">
          <cell r="A593" t="str">
            <v>مدرسة دوفر</v>
          </cell>
          <cell r="B593" t="str">
            <v>Horeca Smart</v>
          </cell>
          <cell r="C593" t="str">
            <v>عملاء اجل</v>
          </cell>
          <cell r="D593" t="str">
            <v>Reham Maher</v>
          </cell>
        </row>
        <row r="594">
          <cell r="A594" t="str">
            <v>مطبخ ندي</v>
          </cell>
          <cell r="B594" t="str">
            <v>MAS</v>
          </cell>
          <cell r="C594" t="str">
            <v xml:space="preserve">عملاء كاش </v>
          </cell>
          <cell r="D594" t="str">
            <v>Haddil Haron</v>
          </cell>
        </row>
        <row r="595">
          <cell r="A595" t="str">
            <v>مطعم الديرة للمأكولات الكويتية</v>
          </cell>
          <cell r="B595" t="str">
            <v>MAS</v>
          </cell>
          <cell r="C595" t="str">
            <v xml:space="preserve">عملاء كاش </v>
          </cell>
          <cell r="D595" t="str">
            <v>Haddil Haron</v>
          </cell>
        </row>
        <row r="596">
          <cell r="A596" t="str">
            <v>مطعم العوده</v>
          </cell>
          <cell r="B596" t="str">
            <v>Horeca Smart</v>
          </cell>
          <cell r="C596" t="str">
            <v xml:space="preserve">عملاء كاش </v>
          </cell>
          <cell r="D596" t="str">
            <v>Lames Magdy</v>
          </cell>
        </row>
        <row r="597">
          <cell r="A597" t="str">
            <v>مطعم جوز</v>
          </cell>
          <cell r="B597" t="str">
            <v>Horeca Smart</v>
          </cell>
          <cell r="C597" t="str">
            <v xml:space="preserve">عملاء كاش </v>
          </cell>
          <cell r="D597" t="str">
            <v>Mona Mohamed</v>
          </cell>
        </row>
        <row r="598">
          <cell r="A598" t="str">
            <v>مطعم صاصا</v>
          </cell>
          <cell r="B598" t="str">
            <v>Horeca Smart</v>
          </cell>
          <cell r="C598" t="str">
            <v xml:space="preserve">عملاء كاش </v>
          </cell>
          <cell r="D598" t="str">
            <v>Mona Mohamed</v>
          </cell>
        </row>
        <row r="599">
          <cell r="A599" t="str">
            <v>مطعم مشاكيك</v>
          </cell>
          <cell r="B599" t="str">
            <v>Horeca Smart</v>
          </cell>
          <cell r="C599" t="str">
            <v xml:space="preserve">عملاء كاش </v>
          </cell>
          <cell r="D599" t="str">
            <v>Lames Magdy</v>
          </cell>
        </row>
        <row r="600">
          <cell r="A600" t="str">
            <v>مطعم نور</v>
          </cell>
          <cell r="B600" t="str">
            <v>Horeca Smart</v>
          </cell>
          <cell r="C600" t="str">
            <v xml:space="preserve">عملاء كاش </v>
          </cell>
          <cell r="D600" t="str">
            <v>Mona Mohamed</v>
          </cell>
        </row>
        <row r="601">
          <cell r="A601" t="str">
            <v>مطعم هيبو للمأكولات الصينية, مطعم هيبو للمأكولات الصينية, الشيخ زايد</v>
          </cell>
          <cell r="B601" t="str">
            <v>Horeca Smart</v>
          </cell>
          <cell r="C601" t="str">
            <v xml:space="preserve">عملاء كاش </v>
          </cell>
          <cell r="D601" t="str">
            <v>Donia Khaled</v>
          </cell>
        </row>
        <row r="602">
          <cell r="A602" t="str">
            <v>B.Star</v>
          </cell>
          <cell r="B602" t="str">
            <v>Horeca Smart</v>
          </cell>
          <cell r="C602" t="str">
            <v xml:space="preserve">عملاء كاش </v>
          </cell>
          <cell r="D602" t="str">
            <v>Donia Khaled</v>
          </cell>
        </row>
        <row r="603">
          <cell r="A603" t="str">
            <v>Bahr Restaurant</v>
          </cell>
          <cell r="B603" t="str">
            <v>Horeca Smart</v>
          </cell>
          <cell r="C603" t="str">
            <v xml:space="preserve">عملاء كاش </v>
          </cell>
          <cell r="D603" t="str">
            <v>Naden Amgad</v>
          </cell>
        </row>
        <row r="604">
          <cell r="A604" t="str">
            <v>Bahr Restaurant, Bahr Restaurant -6 اكتوبر</v>
          </cell>
          <cell r="B604" t="str">
            <v>Horeca Smart</v>
          </cell>
          <cell r="C604" t="str">
            <v xml:space="preserve">عملاء كاش </v>
          </cell>
          <cell r="D604" t="str">
            <v>Naden Amgad</v>
          </cell>
        </row>
        <row r="605">
          <cell r="A605" t="str">
            <v>Bean N’Bun Marv</v>
          </cell>
          <cell r="B605" t="str">
            <v>Horeca Smart</v>
          </cell>
          <cell r="C605" t="str">
            <v xml:space="preserve">عملاء كاش </v>
          </cell>
          <cell r="D605" t="str">
            <v>Hager Ahmed</v>
          </cell>
        </row>
        <row r="606">
          <cell r="A606" t="str">
            <v>Bob's Boba</v>
          </cell>
          <cell r="B606" t="str">
            <v>Horeca Smart</v>
          </cell>
          <cell r="C606" t="str">
            <v xml:space="preserve">عملاء كاش </v>
          </cell>
          <cell r="D606" t="str">
            <v>Reham Maher</v>
          </cell>
        </row>
        <row r="607">
          <cell r="A607" t="str">
            <v>Butchers</v>
          </cell>
          <cell r="B607" t="str">
            <v>Horeca Smart</v>
          </cell>
          <cell r="C607" t="str">
            <v xml:space="preserve">عملاء كاش </v>
          </cell>
          <cell r="D607" t="str">
            <v>Hager Ahmed</v>
          </cell>
        </row>
        <row r="608">
          <cell r="A608" t="str">
            <v>Conitta</v>
          </cell>
          <cell r="B608" t="str">
            <v>Horeca Smart</v>
          </cell>
          <cell r="C608" t="str">
            <v xml:space="preserve">عملاء كاش </v>
          </cell>
          <cell r="D608" t="str">
            <v>Naden Amgad</v>
          </cell>
        </row>
        <row r="609">
          <cell r="A609" t="str">
            <v>Flame burger</v>
          </cell>
          <cell r="B609" t="str">
            <v>Horeca Smart</v>
          </cell>
          <cell r="C609" t="str">
            <v xml:space="preserve">عملاء كاش </v>
          </cell>
          <cell r="D609" t="str">
            <v>Donia Khaled</v>
          </cell>
        </row>
        <row r="610">
          <cell r="A610" t="str">
            <v>GFC</v>
          </cell>
          <cell r="B610" t="str">
            <v>Horeca Smart</v>
          </cell>
          <cell r="C610" t="str">
            <v xml:space="preserve">عملاء كاش </v>
          </cell>
          <cell r="D610" t="str">
            <v>Naden Amgad</v>
          </cell>
        </row>
        <row r="611">
          <cell r="A611" t="str">
            <v>Green cafe</v>
          </cell>
          <cell r="B611" t="str">
            <v>Horeca Smart</v>
          </cell>
          <cell r="C611" t="str">
            <v xml:space="preserve">عملاء كاش </v>
          </cell>
          <cell r="D611" t="str">
            <v>Mona Mohamed</v>
          </cell>
        </row>
        <row r="612">
          <cell r="A612" t="str">
            <v>Hold</v>
          </cell>
          <cell r="B612" t="str">
            <v>Horeca Smart</v>
          </cell>
          <cell r="C612" t="str">
            <v xml:space="preserve">عملاء كاش </v>
          </cell>
          <cell r="D612" t="str">
            <v>Lames Magdy</v>
          </cell>
        </row>
        <row r="613">
          <cell r="A613" t="str">
            <v>Hook</v>
          </cell>
          <cell r="B613" t="str">
            <v>Horeca Smart</v>
          </cell>
          <cell r="C613" t="str">
            <v xml:space="preserve">عملاء كاش </v>
          </cell>
          <cell r="D613" t="str">
            <v>Reham Maher</v>
          </cell>
        </row>
        <row r="614">
          <cell r="A614" t="str">
            <v>Isabell Sushi</v>
          </cell>
          <cell r="B614" t="str">
            <v>Horeca Smart</v>
          </cell>
          <cell r="C614" t="str">
            <v xml:space="preserve">عملاء كاش </v>
          </cell>
          <cell r="D614" t="str">
            <v>Reham Maher</v>
          </cell>
        </row>
        <row r="615">
          <cell r="A615" t="str">
            <v>Nook Cafe</v>
          </cell>
          <cell r="B615" t="str">
            <v>Horeca Smart</v>
          </cell>
          <cell r="C615" t="str">
            <v xml:space="preserve">عملاء كاش </v>
          </cell>
          <cell r="D615" t="str">
            <v>Shorouk khaled</v>
          </cell>
        </row>
        <row r="616">
          <cell r="A616" t="str">
            <v>Pianista, Pianista, Pianista main entity</v>
          </cell>
          <cell r="B616" t="str">
            <v>Horeca Smart</v>
          </cell>
          <cell r="C616" t="str">
            <v xml:space="preserve">عملاء كاش </v>
          </cell>
          <cell r="D616" t="str">
            <v>Lames Magdy</v>
          </cell>
        </row>
        <row r="617">
          <cell r="A617" t="str">
            <v>Sor</v>
          </cell>
          <cell r="B617" t="str">
            <v>Horeca Smart</v>
          </cell>
          <cell r="C617" t="str">
            <v xml:space="preserve">عملاء كاش </v>
          </cell>
          <cell r="D617" t="str">
            <v>Lames Magdy</v>
          </cell>
        </row>
        <row r="618">
          <cell r="A618" t="str">
            <v>Swevem</v>
          </cell>
          <cell r="B618" t="str">
            <v>Horeca Smart</v>
          </cell>
          <cell r="C618" t="str">
            <v xml:space="preserve">عملاء كاش </v>
          </cell>
          <cell r="D618" t="str">
            <v>Hager Ahmed</v>
          </cell>
        </row>
        <row r="619">
          <cell r="A619" t="str">
            <v>Tinto</v>
          </cell>
          <cell r="B619" t="str">
            <v>Horeca Smart</v>
          </cell>
          <cell r="C619" t="str">
            <v xml:space="preserve">عملاء كاش </v>
          </cell>
          <cell r="D619" t="str">
            <v>Shorouk khaled</v>
          </cell>
        </row>
        <row r="620">
          <cell r="A620" t="str">
            <v>Treats Cafe</v>
          </cell>
          <cell r="B620" t="str">
            <v>Horeca Smart</v>
          </cell>
          <cell r="C620" t="str">
            <v xml:space="preserve">عملاء كاش </v>
          </cell>
          <cell r="D620" t="str">
            <v>Mona Mohamed</v>
          </cell>
        </row>
        <row r="621">
          <cell r="A621" t="str">
            <v>Triple Hook, Triple Hook, مدينة الشروق</v>
          </cell>
          <cell r="B621" t="str">
            <v>Horeca Smart</v>
          </cell>
          <cell r="C621" t="str">
            <v xml:space="preserve">عملاء كاش </v>
          </cell>
          <cell r="D621" t="str">
            <v>Lames Magdy</v>
          </cell>
        </row>
        <row r="622">
          <cell r="A622" t="str">
            <v>بلو بيرد</v>
          </cell>
          <cell r="B622" t="str">
            <v>Horeca Smart</v>
          </cell>
          <cell r="C622" t="str">
            <v xml:space="preserve">عملاء كاش </v>
          </cell>
          <cell r="D622" t="str">
            <v>Mona Mohamed</v>
          </cell>
        </row>
        <row r="623">
          <cell r="A623" t="str">
            <v>بيتزا المطراوى</v>
          </cell>
          <cell r="B623" t="str">
            <v>Horeca Smart</v>
          </cell>
          <cell r="C623" t="str">
            <v xml:space="preserve">عملاء كاش </v>
          </cell>
          <cell r="D623" t="str">
            <v>Lames Magdy</v>
          </cell>
        </row>
        <row r="624">
          <cell r="A624" t="str">
            <v>بيتزا المهندسين, بيتزا المهندسين-امبابة</v>
          </cell>
          <cell r="C624" t="str">
            <v xml:space="preserve">عملاء كاش </v>
          </cell>
          <cell r="D624" t="str">
            <v>Reham Maher</v>
          </cell>
        </row>
        <row r="625">
          <cell r="A625" t="str">
            <v>بيتزا سبايسي</v>
          </cell>
          <cell r="B625" t="str">
            <v>Horeca Smart</v>
          </cell>
          <cell r="C625" t="str">
            <v xml:space="preserve">عملاء كاش </v>
          </cell>
          <cell r="D625" t="str">
            <v>Lames Magdy</v>
          </cell>
        </row>
        <row r="626">
          <cell r="A626" t="str">
            <v>دار البنك الاهلي المصري</v>
          </cell>
          <cell r="B626" t="str">
            <v>Horeca Smart</v>
          </cell>
          <cell r="C626" t="str">
            <v xml:space="preserve">عملاء كاش </v>
          </cell>
          <cell r="D626" t="str">
            <v>Reham Maher</v>
          </cell>
        </row>
        <row r="627">
          <cell r="A627" t="str">
            <v>روبير فهمي</v>
          </cell>
          <cell r="D627" t="str">
            <v>Amgad Ahmed</v>
          </cell>
        </row>
        <row r="628">
          <cell r="A628" t="str">
            <v>شركة اركان للتوريدات</v>
          </cell>
          <cell r="B628" t="str">
            <v>Horeca Smart</v>
          </cell>
          <cell r="C628" t="str">
            <v xml:space="preserve">عملاء كاش </v>
          </cell>
          <cell r="D628" t="str">
            <v>Naden Amgad</v>
          </cell>
        </row>
        <row r="629">
          <cell r="A629" t="str">
            <v>شركه الحسن لصناعات الغذائيه</v>
          </cell>
          <cell r="B629" t="str">
            <v>Horeca Smart</v>
          </cell>
          <cell r="C629" t="str">
            <v xml:space="preserve">عملاء كاش </v>
          </cell>
          <cell r="D629" t="str">
            <v>Naden Amgad</v>
          </cell>
        </row>
        <row r="630">
          <cell r="A630" t="str">
            <v>شوكليت (أحمد شوقي)</v>
          </cell>
          <cell r="B630" t="str">
            <v>MAS</v>
          </cell>
          <cell r="C630" t="str">
            <v xml:space="preserve">عملاء كاش </v>
          </cell>
          <cell r="D630" t="str">
            <v>Haddil Haron</v>
          </cell>
        </row>
        <row r="631">
          <cell r="A631" t="str">
            <v>فروت درينك</v>
          </cell>
          <cell r="B631" t="str">
            <v>Horeca Smart</v>
          </cell>
          <cell r="C631" t="str">
            <v xml:space="preserve">عملاء كاش </v>
          </cell>
          <cell r="D631" t="str">
            <v>Lames Magdy</v>
          </cell>
        </row>
        <row r="632">
          <cell r="A632" t="str">
            <v>كافيه تالنت, كافيه تالنت, التجمع الخامس</v>
          </cell>
          <cell r="B632" t="str">
            <v>Horeca Smart</v>
          </cell>
          <cell r="C632" t="str">
            <v xml:space="preserve">عملاء كاش </v>
          </cell>
          <cell r="D632" t="str">
            <v>Mona Mohamed</v>
          </cell>
        </row>
        <row r="633">
          <cell r="A633" t="str">
            <v>كافيه شغف, كافيه شغف, كافيه شغف -وسط البلد</v>
          </cell>
          <cell r="B633" t="str">
            <v>Horeca Smart</v>
          </cell>
          <cell r="C633" t="str">
            <v xml:space="preserve">عملاء كاش </v>
          </cell>
          <cell r="D633" t="str">
            <v>Donia Khaled</v>
          </cell>
        </row>
        <row r="634">
          <cell r="A634" t="str">
            <v>مؤسسة فرست</v>
          </cell>
          <cell r="B634" t="str">
            <v>Horeca Smart</v>
          </cell>
          <cell r="C634" t="str">
            <v xml:space="preserve">عملاء كاش </v>
          </cell>
          <cell r="D634" t="str">
            <v>Donia Khaled</v>
          </cell>
        </row>
        <row r="635">
          <cell r="A635" t="str">
            <v>محل فطاطري الشيخ</v>
          </cell>
          <cell r="B635" t="str">
            <v>Horeca Smart</v>
          </cell>
          <cell r="C635" t="str">
            <v xml:space="preserve">عملاء كاش </v>
          </cell>
          <cell r="D635" t="str">
            <v>Naden Amgad</v>
          </cell>
        </row>
        <row r="636">
          <cell r="A636" t="str">
            <v>مطبخ بالهنا</v>
          </cell>
          <cell r="B636" t="str">
            <v>Horeca Smart</v>
          </cell>
          <cell r="C636" t="str">
            <v xml:space="preserve">عملاء كاش </v>
          </cell>
          <cell r="D636" t="str">
            <v>Reham Maher</v>
          </cell>
        </row>
        <row r="637">
          <cell r="A637" t="str">
            <v>مطعم اسفنكس اسماش</v>
          </cell>
          <cell r="C637" t="str">
            <v xml:space="preserve">عملاء كاش </v>
          </cell>
          <cell r="D637" t="str">
            <v>Haddil Haron</v>
          </cell>
        </row>
        <row r="638">
          <cell r="A638" t="str">
            <v>مطعم جدو عبده</v>
          </cell>
          <cell r="B638" t="str">
            <v>Horeca Smart</v>
          </cell>
          <cell r="C638" t="str">
            <v xml:space="preserve">عملاء كاش </v>
          </cell>
          <cell r="D638" t="str">
            <v>Rasha Hassan</v>
          </cell>
        </row>
        <row r="639">
          <cell r="A639" t="str">
            <v>مطعم رأفت</v>
          </cell>
          <cell r="B639" t="str">
            <v>Horeca Smart</v>
          </cell>
          <cell r="C639" t="str">
            <v xml:space="preserve">عملاء كاش </v>
          </cell>
          <cell r="D639" t="str">
            <v>Lames Magdy</v>
          </cell>
        </row>
        <row r="640">
          <cell r="A640" t="str">
            <v>4you</v>
          </cell>
          <cell r="B640" t="str">
            <v>Horeca Smart</v>
          </cell>
          <cell r="C640" t="str">
            <v xml:space="preserve">عملاء كاش </v>
          </cell>
          <cell r="D640" t="str">
            <v>Mona Mohamed</v>
          </cell>
        </row>
        <row r="641">
          <cell r="A641" t="str">
            <v>8one burger</v>
          </cell>
          <cell r="B641" t="str">
            <v>Horeca Smart</v>
          </cell>
          <cell r="C641" t="str">
            <v xml:space="preserve">عملاء كاش </v>
          </cell>
          <cell r="D641" t="str">
            <v>Reham Maher</v>
          </cell>
        </row>
        <row r="642">
          <cell r="A642" t="str">
            <v>British International College of Cairo</v>
          </cell>
          <cell r="B642" t="str">
            <v>Horeca Smart</v>
          </cell>
          <cell r="C642" t="str">
            <v xml:space="preserve">عملاء كاش </v>
          </cell>
          <cell r="D642" t="str">
            <v>Rasha Hassan</v>
          </cell>
        </row>
        <row r="643">
          <cell r="A643" t="str">
            <v>COUNTRY HILLS, COUNTRY HILLS, التجمع</v>
          </cell>
          <cell r="C643" t="str">
            <v xml:space="preserve">عملاء كاش </v>
          </cell>
          <cell r="D643" t="str">
            <v>Lames Magdy</v>
          </cell>
        </row>
        <row r="644">
          <cell r="A644" t="str">
            <v>Calypso</v>
          </cell>
          <cell r="B644" t="str">
            <v>Horeca Smart</v>
          </cell>
          <cell r="C644" t="str">
            <v xml:space="preserve">عملاء كاش </v>
          </cell>
          <cell r="D644" t="str">
            <v>Shorouk khaled</v>
          </cell>
        </row>
        <row r="645">
          <cell r="A645" t="str">
            <v>Club House - ماونتن ڤيو لإدارة الأندية</v>
          </cell>
          <cell r="B645" t="str">
            <v>Horeca Smart</v>
          </cell>
          <cell r="C645" t="str">
            <v xml:space="preserve">عملاء كاش </v>
          </cell>
          <cell r="D645" t="str">
            <v>Mona Mohamed</v>
          </cell>
        </row>
        <row r="646">
          <cell r="A646" t="str">
            <v>Coco di papa</v>
          </cell>
          <cell r="B646" t="str">
            <v>Horeca Smart</v>
          </cell>
          <cell r="C646" t="str">
            <v xml:space="preserve">عملاء كاش </v>
          </cell>
          <cell r="D646" t="str">
            <v>Naden Amgad</v>
          </cell>
        </row>
        <row r="647">
          <cell r="A647" t="str">
            <v>Coffee Corner</v>
          </cell>
          <cell r="B647" t="str">
            <v>Horeca Smart</v>
          </cell>
          <cell r="C647" t="str">
            <v xml:space="preserve">عملاء كاش </v>
          </cell>
          <cell r="D647" t="str">
            <v>Naden Amgad</v>
          </cell>
        </row>
        <row r="648">
          <cell r="A648" t="str">
            <v>Corto lab cafe</v>
          </cell>
          <cell r="B648" t="str">
            <v>Horeca Smart</v>
          </cell>
          <cell r="C648" t="str">
            <v xml:space="preserve">عملاء كاش </v>
          </cell>
          <cell r="D648" t="str">
            <v>Naden Amgad</v>
          </cell>
        </row>
        <row r="649">
          <cell r="A649" t="str">
            <v>Cozy Club</v>
          </cell>
          <cell r="B649" t="str">
            <v>Horeca Smart</v>
          </cell>
          <cell r="C649" t="str">
            <v xml:space="preserve">عملاء كاش </v>
          </cell>
          <cell r="D649" t="str">
            <v>Reham Maher</v>
          </cell>
        </row>
        <row r="650">
          <cell r="A650" t="str">
            <v>Cupa Cafe</v>
          </cell>
          <cell r="B650" t="str">
            <v>Horeca Smart</v>
          </cell>
          <cell r="C650" t="str">
            <v xml:space="preserve">عملاء كاش </v>
          </cell>
          <cell r="D650" t="str">
            <v>Mona Mohamed</v>
          </cell>
        </row>
        <row r="651">
          <cell r="A651" t="str">
            <v>Double A</v>
          </cell>
          <cell r="B651" t="str">
            <v>Horeca Smart</v>
          </cell>
          <cell r="C651" t="str">
            <v xml:space="preserve">عملاء كاش </v>
          </cell>
          <cell r="D651" t="str">
            <v>Reham Maher</v>
          </cell>
        </row>
        <row r="652">
          <cell r="A652" t="str">
            <v>Fries Society</v>
          </cell>
          <cell r="B652" t="str">
            <v>Horeca Smart</v>
          </cell>
          <cell r="C652" t="str">
            <v xml:space="preserve">عملاء كاش </v>
          </cell>
          <cell r="D652" t="str">
            <v>Lames Magdy</v>
          </cell>
        </row>
        <row r="653">
          <cell r="A653" t="str">
            <v>Gallery Hefa</v>
          </cell>
          <cell r="B653" t="str">
            <v>Horeca Smart</v>
          </cell>
          <cell r="C653" t="str">
            <v xml:space="preserve">عملاء كاش </v>
          </cell>
          <cell r="D653" t="str">
            <v>Rasha Hassan</v>
          </cell>
        </row>
        <row r="654">
          <cell r="A654" t="str">
            <v>Joe Munchy</v>
          </cell>
          <cell r="B654" t="str">
            <v>Horeca Smart</v>
          </cell>
          <cell r="C654" t="str">
            <v xml:space="preserve">عملاء كاش </v>
          </cell>
          <cell r="D654" t="str">
            <v>Mona Mohamed</v>
          </cell>
        </row>
        <row r="655">
          <cell r="A655" t="str">
            <v>Khamr El Saleheen</v>
          </cell>
          <cell r="B655" t="str">
            <v>Horeca Smart</v>
          </cell>
          <cell r="C655" t="str">
            <v xml:space="preserve">عملاء كاش </v>
          </cell>
          <cell r="D655" t="str">
            <v>Naden Amgad</v>
          </cell>
        </row>
        <row r="656">
          <cell r="A656" t="str">
            <v>Kongka</v>
          </cell>
          <cell r="B656" t="str">
            <v>Horeca Smart</v>
          </cell>
          <cell r="C656" t="str">
            <v xml:space="preserve">عملاء كاش </v>
          </cell>
          <cell r="D656" t="str">
            <v>Reham Maher</v>
          </cell>
        </row>
        <row r="657">
          <cell r="A657" t="str">
            <v>Kyoto Sushi, Kyoto Sushi, Kyoto Sushi - Maadi</v>
          </cell>
          <cell r="B657" t="str">
            <v>Horeca Smart</v>
          </cell>
          <cell r="C657" t="str">
            <v xml:space="preserve">عملاء كاش </v>
          </cell>
          <cell r="D657" t="str">
            <v>Naden Amgad</v>
          </cell>
        </row>
        <row r="658">
          <cell r="A658" t="str">
            <v>LiteBite</v>
          </cell>
          <cell r="B658" t="str">
            <v>Horeca Smart</v>
          </cell>
          <cell r="C658" t="str">
            <v xml:space="preserve">عملاء كاش </v>
          </cell>
          <cell r="D658" t="str">
            <v>Naden Amgad</v>
          </cell>
        </row>
        <row r="659">
          <cell r="A659" t="str">
            <v>Lucky Shot</v>
          </cell>
          <cell r="B659" t="str">
            <v>Horeca Smart</v>
          </cell>
          <cell r="C659" t="str">
            <v xml:space="preserve">عملاء كاش </v>
          </cell>
          <cell r="D659" t="str">
            <v>Donia Khaled</v>
          </cell>
        </row>
        <row r="660">
          <cell r="A660" t="str">
            <v>M&amp;I للتوريدات (مخزن)</v>
          </cell>
          <cell r="B660" t="str">
            <v>Horeca Smart</v>
          </cell>
          <cell r="C660" t="str">
            <v xml:space="preserve">عملاء كاش </v>
          </cell>
          <cell r="D660" t="str">
            <v>Donia Khaled</v>
          </cell>
        </row>
        <row r="661">
          <cell r="A661" t="str">
            <v>MiramOh Gear Cafe</v>
          </cell>
          <cell r="B661" t="str">
            <v>Horeca Smart</v>
          </cell>
          <cell r="C661" t="str">
            <v xml:space="preserve">عملاء كاش </v>
          </cell>
          <cell r="D661" t="str">
            <v>Donia Khaled</v>
          </cell>
        </row>
        <row r="662">
          <cell r="A662" t="str">
            <v>Mondish</v>
          </cell>
          <cell r="B662" t="str">
            <v>Horeca Smart</v>
          </cell>
          <cell r="C662" t="str">
            <v xml:space="preserve">عملاء كاش </v>
          </cell>
          <cell r="D662" t="str">
            <v>Shorouk khaled</v>
          </cell>
        </row>
        <row r="663">
          <cell r="A663" t="str">
            <v>Movenpick Cafe, Movenpick Cafe, القرية الذكية</v>
          </cell>
          <cell r="B663" t="str">
            <v>Horeca Smart</v>
          </cell>
          <cell r="C663" t="str">
            <v xml:space="preserve">عملاء كاش </v>
          </cell>
          <cell r="D663" t="str">
            <v>Naden Amgad</v>
          </cell>
        </row>
        <row r="664">
          <cell r="A664" t="str">
            <v>Noah Cafe</v>
          </cell>
          <cell r="B664" t="str">
            <v>Horeca Smart</v>
          </cell>
          <cell r="C664" t="str">
            <v xml:space="preserve">عملاء كاش </v>
          </cell>
          <cell r="D664" t="str">
            <v>Rasha Hassan</v>
          </cell>
        </row>
        <row r="665">
          <cell r="A665" t="str">
            <v>Oops</v>
          </cell>
          <cell r="B665" t="str">
            <v>Horeca Smart</v>
          </cell>
          <cell r="C665" t="str">
            <v xml:space="preserve">عملاء كاش </v>
          </cell>
          <cell r="D665" t="str">
            <v>Donia Khaled</v>
          </cell>
        </row>
        <row r="666">
          <cell r="A666" t="str">
            <v>Osten</v>
          </cell>
          <cell r="B666" t="str">
            <v>Horeca Smart</v>
          </cell>
          <cell r="D666" t="str">
            <v>Donia Khaled</v>
          </cell>
        </row>
        <row r="667">
          <cell r="A667" t="str">
            <v>Over Dose Espersso Bar</v>
          </cell>
          <cell r="B667" t="str">
            <v>Horeca Smart</v>
          </cell>
          <cell r="C667" t="str">
            <v xml:space="preserve">عملاء كاش </v>
          </cell>
          <cell r="D667" t="str">
            <v>Hager Ahmed</v>
          </cell>
        </row>
        <row r="668">
          <cell r="A668" t="str">
            <v>Pergola Cafe</v>
          </cell>
          <cell r="B668" t="str">
            <v>Horeca Smart</v>
          </cell>
          <cell r="C668" t="str">
            <v xml:space="preserve">عملاء كاش </v>
          </cell>
          <cell r="D668" t="str">
            <v>Naden Amgad</v>
          </cell>
        </row>
        <row r="669">
          <cell r="A669" t="str">
            <v>Peru Café</v>
          </cell>
          <cell r="B669" t="str">
            <v>Horeca Smart</v>
          </cell>
          <cell r="C669" t="str">
            <v xml:space="preserve">عملاء كاش </v>
          </cell>
          <cell r="D669" t="str">
            <v>Hager Ahmed</v>
          </cell>
        </row>
        <row r="670">
          <cell r="A670" t="str">
            <v>Plus 90</v>
          </cell>
          <cell r="B670" t="str">
            <v>Horeca Smart</v>
          </cell>
          <cell r="C670" t="str">
            <v xml:space="preserve">عملاء كاش </v>
          </cell>
          <cell r="D670" t="str">
            <v>Hager Ahmed</v>
          </cell>
        </row>
        <row r="671">
          <cell r="A671" t="str">
            <v>Quick pick</v>
          </cell>
          <cell r="B671" t="str">
            <v>Horeca Smart</v>
          </cell>
          <cell r="C671" t="str">
            <v xml:space="preserve">عملاء كاش </v>
          </cell>
          <cell r="D671" t="str">
            <v>Naden Amgad</v>
          </cell>
        </row>
        <row r="672">
          <cell r="A672" t="str">
            <v>Quick pick</v>
          </cell>
          <cell r="B672" t="str">
            <v>Horeca Smart</v>
          </cell>
          <cell r="C672" t="str">
            <v xml:space="preserve">عملاء كاش </v>
          </cell>
          <cell r="D672" t="str">
            <v>Naden Amgad</v>
          </cell>
        </row>
        <row r="673">
          <cell r="A673" t="str">
            <v>RossoNapoli</v>
          </cell>
          <cell r="B673" t="str">
            <v>Horeca Smart</v>
          </cell>
          <cell r="C673" t="str">
            <v xml:space="preserve">عملاء كاش </v>
          </cell>
          <cell r="D673" t="str">
            <v>Shorouk khaled</v>
          </cell>
        </row>
        <row r="674">
          <cell r="A674" t="str">
            <v>Sammy’s</v>
          </cell>
          <cell r="B674" t="str">
            <v>Horeca Smart</v>
          </cell>
          <cell r="C674" t="str">
            <v xml:space="preserve">عملاء كاش </v>
          </cell>
          <cell r="D674" t="str">
            <v>Hager Ahmed</v>
          </cell>
        </row>
        <row r="675">
          <cell r="A675" t="str">
            <v>Signature Chef</v>
          </cell>
          <cell r="B675" t="str">
            <v>Horeca Smart</v>
          </cell>
          <cell r="C675" t="str">
            <v xml:space="preserve">عملاء كاش </v>
          </cell>
          <cell r="D675" t="str">
            <v>Mona Mohamed</v>
          </cell>
        </row>
        <row r="676">
          <cell r="A676" t="str">
            <v>Solo ( مورد - عميل )</v>
          </cell>
          <cell r="B676" t="str">
            <v>Horeca Smart</v>
          </cell>
          <cell r="C676" t="str">
            <v>موردين كاش</v>
          </cell>
          <cell r="D676" t="str">
            <v>Haddil Haron</v>
          </cell>
        </row>
        <row r="677">
          <cell r="A677" t="str">
            <v>Star Cafe -حدائق أكتوبر</v>
          </cell>
          <cell r="B677" t="str">
            <v>Horeca Smart</v>
          </cell>
          <cell r="C677" t="str">
            <v xml:space="preserve">عملاء كاش </v>
          </cell>
          <cell r="D677" t="str">
            <v>Shorouk khaled</v>
          </cell>
        </row>
        <row r="678">
          <cell r="A678" t="str">
            <v>Sushi9</v>
          </cell>
          <cell r="B678" t="str">
            <v>Horeca Smart</v>
          </cell>
          <cell r="C678" t="str">
            <v xml:space="preserve">عملاء كاش </v>
          </cell>
          <cell r="D678" t="str">
            <v>Naden Amgad</v>
          </cell>
        </row>
        <row r="679">
          <cell r="A679" t="str">
            <v>TBS</v>
          </cell>
          <cell r="B679" t="str">
            <v>MAS</v>
          </cell>
          <cell r="C679" t="str">
            <v>عملاء اجل</v>
          </cell>
          <cell r="D679" t="str">
            <v>Haddil Haron</v>
          </cell>
        </row>
        <row r="680">
          <cell r="A680" t="str">
            <v>TIKO</v>
          </cell>
          <cell r="B680" t="str">
            <v>Horeca Smart</v>
          </cell>
          <cell r="C680" t="str">
            <v xml:space="preserve">عملاء كاش </v>
          </cell>
          <cell r="D680" t="str">
            <v>Shorouk khaled</v>
          </cell>
        </row>
        <row r="681">
          <cell r="A681" t="str">
            <v>Tiki taka</v>
          </cell>
          <cell r="B681" t="str">
            <v>Horeca Smart</v>
          </cell>
          <cell r="C681" t="str">
            <v xml:space="preserve">عملاء كاش </v>
          </cell>
          <cell r="D681" t="str">
            <v>Donia Khaled</v>
          </cell>
        </row>
        <row r="682">
          <cell r="A682" t="str">
            <v>Triple Hook</v>
          </cell>
          <cell r="B682" t="str">
            <v>Horeca Smart</v>
          </cell>
          <cell r="C682" t="str">
            <v xml:space="preserve">عملاء كاش </v>
          </cell>
          <cell r="D682" t="str">
            <v>Lames Magdy</v>
          </cell>
        </row>
        <row r="683">
          <cell r="A683" t="str">
            <v>Wagyü Egypt</v>
          </cell>
          <cell r="B683" t="str">
            <v>Horeca Smart</v>
          </cell>
          <cell r="C683" t="str">
            <v xml:space="preserve">عملاء كاش </v>
          </cell>
          <cell r="D683" t="str">
            <v>Mona Mohamed</v>
          </cell>
        </row>
        <row r="684">
          <cell r="A684" t="str">
            <v>Yafetoo</v>
          </cell>
          <cell r="B684" t="str">
            <v>Horeca Smart</v>
          </cell>
          <cell r="C684" t="str">
            <v xml:space="preserve">عملاء كاش </v>
          </cell>
          <cell r="D684" t="str">
            <v>Naden Amgad</v>
          </cell>
        </row>
        <row r="685">
          <cell r="A685" t="str">
            <v>Yuki sushi, Yuki sushi, Zayed</v>
          </cell>
          <cell r="C685" t="str">
            <v xml:space="preserve">عملاء كاش </v>
          </cell>
          <cell r="D685" t="str">
            <v>Naden Amgad</v>
          </cell>
        </row>
        <row r="686">
          <cell r="A686" t="str">
            <v>ZADK- للتوريدات</v>
          </cell>
          <cell r="B686" t="str">
            <v>Horeca Smart</v>
          </cell>
          <cell r="C686" t="str">
            <v xml:space="preserve">عملاء كاش </v>
          </cell>
          <cell r="D686" t="str">
            <v>Donia Khaled</v>
          </cell>
        </row>
        <row r="687">
          <cell r="A687" t="str">
            <v>cloud kitchen. Habibi and co</v>
          </cell>
          <cell r="B687" t="str">
            <v>Horeca Smart</v>
          </cell>
          <cell r="C687" t="str">
            <v xml:space="preserve">عملاء كاش </v>
          </cell>
          <cell r="D687" t="str">
            <v>Lames Magdy</v>
          </cell>
        </row>
        <row r="688">
          <cell r="A688" t="str">
            <v>lily's cafe</v>
          </cell>
          <cell r="B688" t="str">
            <v>Horeca Smart</v>
          </cell>
          <cell r="C688" t="str">
            <v xml:space="preserve">عملاء كاش </v>
          </cell>
          <cell r="D688" t="str">
            <v>Naden Amgad</v>
          </cell>
        </row>
        <row r="689">
          <cell r="A689" t="str">
            <v>mohamed ayman</v>
          </cell>
          <cell r="B689" t="str">
            <v>Horeca Smart</v>
          </cell>
          <cell r="C689" t="str">
            <v xml:space="preserve">عملاء كاش </v>
          </cell>
          <cell r="D689" t="str">
            <v>Hager Ahmed</v>
          </cell>
        </row>
        <row r="690">
          <cell r="A690" t="str">
            <v>osama azmy</v>
          </cell>
          <cell r="B690" t="str">
            <v>Horeca Smart</v>
          </cell>
          <cell r="C690" t="str">
            <v xml:space="preserve">عملاء كاش </v>
          </cell>
          <cell r="D690" t="str">
            <v>Hager Ahmed</v>
          </cell>
        </row>
        <row r="691">
          <cell r="A691" t="str">
            <v>the Cocking School</v>
          </cell>
          <cell r="B691" t="str">
            <v>Horeca Smart</v>
          </cell>
          <cell r="C691" t="str">
            <v xml:space="preserve">عملاء كاش </v>
          </cell>
          <cell r="D691" t="str">
            <v>Lames Magdy</v>
          </cell>
        </row>
        <row r="692">
          <cell r="A692" t="str">
            <v>آل العالمي</v>
          </cell>
          <cell r="B692" t="str">
            <v>Horeca Smart</v>
          </cell>
          <cell r="C692" t="str">
            <v xml:space="preserve">عملاء كاش </v>
          </cell>
          <cell r="D692" t="str">
            <v>Shorouk khaled</v>
          </cell>
        </row>
        <row r="693">
          <cell r="A693" t="str">
            <v>اب تاون</v>
          </cell>
          <cell r="B693" t="str">
            <v>Horeca Smart</v>
          </cell>
          <cell r="C693" t="str">
            <v xml:space="preserve">عملاء كاش </v>
          </cell>
          <cell r="D693" t="str">
            <v>Naden Amgad</v>
          </cell>
        </row>
        <row r="694">
          <cell r="A694" t="str">
            <v>ابو موسى</v>
          </cell>
          <cell r="B694" t="str">
            <v>Horeca Smart</v>
          </cell>
          <cell r="C694" t="str">
            <v xml:space="preserve">عملاء كاش </v>
          </cell>
          <cell r="D694" t="str">
            <v>Rasha Hassan</v>
          </cell>
        </row>
        <row r="695">
          <cell r="A695" t="str">
            <v>اجيجا</v>
          </cell>
          <cell r="B695" t="str">
            <v>Horeca Smart</v>
          </cell>
          <cell r="C695" t="str">
            <v xml:space="preserve">عملاء كاش </v>
          </cell>
          <cell r="D695" t="str">
            <v>Hager Ahmed</v>
          </cell>
        </row>
        <row r="696">
          <cell r="A696" t="str">
            <v>ار سوشي</v>
          </cell>
          <cell r="B696" t="str">
            <v>Horeca Smart</v>
          </cell>
          <cell r="C696" t="str">
            <v xml:space="preserve">عملاء كاش </v>
          </cell>
          <cell r="D696" t="str">
            <v>Reham Maher</v>
          </cell>
        </row>
        <row r="697">
          <cell r="A697" t="str">
            <v>اسماك المراكبي</v>
          </cell>
          <cell r="B697" t="str">
            <v>Horeca Smart</v>
          </cell>
          <cell r="C697" t="str">
            <v xml:space="preserve">عملاء كاش </v>
          </cell>
          <cell r="D697" t="str">
            <v>Reham Maher</v>
          </cell>
        </row>
        <row r="698">
          <cell r="A698" t="str">
            <v>السكرية</v>
          </cell>
          <cell r="B698" t="str">
            <v>Horeca Smart</v>
          </cell>
          <cell r="C698" t="str">
            <v xml:space="preserve">عملاء كاش </v>
          </cell>
          <cell r="D698" t="str">
            <v>Shorouk khaled</v>
          </cell>
        </row>
        <row r="699">
          <cell r="A699" t="str">
            <v>السلطان عبده</v>
          </cell>
          <cell r="B699" t="str">
            <v>Horeca Smart</v>
          </cell>
          <cell r="C699" t="str">
            <v xml:space="preserve">عملاء كاش </v>
          </cell>
          <cell r="D699" t="str">
            <v>Rasha Hassan</v>
          </cell>
        </row>
        <row r="700">
          <cell r="A700" t="str">
            <v>المطرية</v>
          </cell>
          <cell r="B700" t="str">
            <v>Horeca Smart</v>
          </cell>
          <cell r="C700" t="str">
            <v xml:space="preserve">عملاء كاش </v>
          </cell>
          <cell r="D700" t="str">
            <v>Reham Maher</v>
          </cell>
        </row>
        <row r="701">
          <cell r="A701" t="str">
            <v>الوفاق المصريه ترافل يلو</v>
          </cell>
          <cell r="B701" t="str">
            <v>Horeca Smart</v>
          </cell>
          <cell r="C701" t="str">
            <v xml:space="preserve">عملاء كاش </v>
          </cell>
          <cell r="D701" t="str">
            <v>Naden Amgad</v>
          </cell>
        </row>
        <row r="702">
          <cell r="A702" t="str">
            <v>اولد ترى</v>
          </cell>
          <cell r="B702" t="str">
            <v>Horeca Smart</v>
          </cell>
          <cell r="C702" t="str">
            <v xml:space="preserve">عملاء كاش </v>
          </cell>
          <cell r="D702" t="str">
            <v>Lames Magdy</v>
          </cell>
        </row>
        <row r="703">
          <cell r="A703" t="str">
            <v>برجر سنايبر_فيصل</v>
          </cell>
          <cell r="B703" t="str">
            <v>Horeca Smart</v>
          </cell>
          <cell r="C703" t="str">
            <v xml:space="preserve">عملاء كاش </v>
          </cell>
          <cell r="D703" t="str">
            <v>Hager Ahmed</v>
          </cell>
        </row>
        <row r="704">
          <cell r="A704" t="str">
            <v>بريسك بلاس</v>
          </cell>
          <cell r="B704" t="str">
            <v>Horeca Smart</v>
          </cell>
          <cell r="C704" t="str">
            <v xml:space="preserve">عملاء كاش </v>
          </cell>
          <cell r="D704" t="str">
            <v>Mona Mohamed</v>
          </cell>
        </row>
        <row r="705">
          <cell r="A705" t="str">
            <v>بن النصر</v>
          </cell>
          <cell r="B705" t="str">
            <v>Horeca Smart</v>
          </cell>
          <cell r="C705" t="str">
            <v xml:space="preserve">عملاء كاش </v>
          </cell>
          <cell r="D705" t="str">
            <v>Lames Magdy</v>
          </cell>
        </row>
        <row r="706">
          <cell r="A706" t="str">
            <v>بن فايز صبيح</v>
          </cell>
          <cell r="B706" t="str">
            <v>Horeca Smart</v>
          </cell>
          <cell r="C706" t="str">
            <v xml:space="preserve">عملاء كاش </v>
          </cell>
          <cell r="D706" t="str">
            <v>Reham Maher</v>
          </cell>
        </row>
        <row r="707">
          <cell r="A707" t="str">
            <v>بوابة حمص</v>
          </cell>
          <cell r="B707" t="str">
            <v>Horeca Smart</v>
          </cell>
          <cell r="C707" t="str">
            <v xml:space="preserve">عملاء كاش </v>
          </cell>
          <cell r="D707" t="str">
            <v>Shorouk khaled</v>
          </cell>
        </row>
        <row r="708">
          <cell r="A708" t="str">
            <v>بيت لحم</v>
          </cell>
          <cell r="B708" t="str">
            <v>Horeca Smart</v>
          </cell>
          <cell r="C708" t="str">
            <v xml:space="preserve">عملاء كاش </v>
          </cell>
          <cell r="D708" t="str">
            <v>Donia Khaled</v>
          </cell>
        </row>
        <row r="709">
          <cell r="A709" t="str">
            <v>بيتزا الدولي</v>
          </cell>
          <cell r="B709" t="str">
            <v>Horeca Smart</v>
          </cell>
          <cell r="C709" t="str">
            <v xml:space="preserve">عملاء كاش </v>
          </cell>
          <cell r="D709" t="str">
            <v>Rasha Hassan</v>
          </cell>
        </row>
        <row r="710">
          <cell r="A710" t="str">
            <v>بيتى اركاديا مول</v>
          </cell>
          <cell r="B710" t="str">
            <v>Horeca Smart</v>
          </cell>
          <cell r="C710" t="str">
            <v xml:space="preserve">عملاء كاش </v>
          </cell>
          <cell r="D710" t="str">
            <v>Reham Maher</v>
          </cell>
        </row>
        <row r="711">
          <cell r="A711" t="str">
            <v>بيلا روما</v>
          </cell>
          <cell r="B711" t="str">
            <v>Horeca Smart</v>
          </cell>
          <cell r="C711" t="str">
            <v xml:space="preserve">عملاء كاش </v>
          </cell>
          <cell r="D711" t="str">
            <v>Reham Maher</v>
          </cell>
        </row>
        <row r="712">
          <cell r="A712" t="str">
            <v>تحت الكوبري</v>
          </cell>
          <cell r="B712" t="str">
            <v>Horeca Smart</v>
          </cell>
          <cell r="C712" t="str">
            <v xml:space="preserve">عملاء كاش </v>
          </cell>
          <cell r="D712" t="str">
            <v>Rasha Hassan</v>
          </cell>
        </row>
        <row r="713">
          <cell r="A713" t="str">
            <v>تشيكن فاير العباسية</v>
          </cell>
          <cell r="B713" t="str">
            <v>Horeca Smart</v>
          </cell>
          <cell r="C713" t="str">
            <v xml:space="preserve">عملاء كاش </v>
          </cell>
          <cell r="D713" t="str">
            <v>Rasha Hassan</v>
          </cell>
        </row>
        <row r="714">
          <cell r="A714" t="str">
            <v>تيما</v>
          </cell>
          <cell r="B714" t="str">
            <v>Horeca Smart</v>
          </cell>
          <cell r="C714" t="str">
            <v xml:space="preserve">عملاء كاش </v>
          </cell>
          <cell r="D714" t="str">
            <v>Rasha Hassan</v>
          </cell>
        </row>
        <row r="715">
          <cell r="A715" t="str">
            <v>جادو</v>
          </cell>
          <cell r="D715" t="str">
            <v>Haddil Haron</v>
          </cell>
        </row>
        <row r="716">
          <cell r="A716" t="str">
            <v>جدو صابر</v>
          </cell>
          <cell r="B716" t="str">
            <v>Horeca Smart</v>
          </cell>
          <cell r="C716" t="str">
            <v xml:space="preserve">عملاء كاش </v>
          </cell>
          <cell r="D716" t="str">
            <v>Naden Amgad</v>
          </cell>
        </row>
        <row r="717">
          <cell r="A717" t="str">
            <v>جمعية التواضع القبطية الارثوكسية</v>
          </cell>
          <cell r="B717" t="str">
            <v>Horeca Smart</v>
          </cell>
          <cell r="C717" t="str">
            <v xml:space="preserve">عملاء كاش </v>
          </cell>
          <cell r="D717" t="str">
            <v>Shorouk khaled</v>
          </cell>
        </row>
        <row r="718">
          <cell r="A718" t="str">
            <v>جيت نيو كايرو للتجارة والتوزيع</v>
          </cell>
          <cell r="B718" t="str">
            <v>MAS</v>
          </cell>
          <cell r="C718" t="str">
            <v xml:space="preserve">عملاء كاش </v>
          </cell>
          <cell r="D718" t="str">
            <v>Amgad Ahmed</v>
          </cell>
        </row>
        <row r="719">
          <cell r="A719" t="str">
            <v>دار البن البرازيلي</v>
          </cell>
          <cell r="B719" t="str">
            <v>Horeca Smart</v>
          </cell>
          <cell r="C719" t="str">
            <v xml:space="preserve">عملاء كاش </v>
          </cell>
          <cell r="D719" t="str">
            <v>Lames Magdy</v>
          </cell>
        </row>
        <row r="720">
          <cell r="A720" t="str">
            <v>دو لاكريم</v>
          </cell>
          <cell r="B720" t="str">
            <v>Horeca Smart</v>
          </cell>
          <cell r="C720" t="str">
            <v xml:space="preserve">عملاء كاش </v>
          </cell>
          <cell r="D720" t="str">
            <v>Shorouk khaled</v>
          </cell>
        </row>
        <row r="721">
          <cell r="A721" t="str">
            <v>ريحانة</v>
          </cell>
          <cell r="B721" t="str">
            <v>Horeca Smart</v>
          </cell>
          <cell r="C721" t="str">
            <v xml:space="preserve">عملاء كاش </v>
          </cell>
          <cell r="D721" t="str">
            <v>Mona Mohamed</v>
          </cell>
        </row>
        <row r="722">
          <cell r="A722" t="str">
            <v>سكوير</v>
          </cell>
          <cell r="B722" t="str">
            <v>Horeca Smart</v>
          </cell>
          <cell r="C722" t="str">
            <v xml:space="preserve">عملاء كاش </v>
          </cell>
          <cell r="D722" t="str">
            <v>Reham Maher</v>
          </cell>
        </row>
        <row r="723">
          <cell r="A723" t="str">
            <v>سمارت جيم</v>
          </cell>
          <cell r="B723" t="str">
            <v>Horeca Smart</v>
          </cell>
          <cell r="C723" t="str">
            <v xml:space="preserve">عملاء كاش </v>
          </cell>
          <cell r="D723" t="str">
            <v>Hager Ahmed</v>
          </cell>
        </row>
        <row r="724">
          <cell r="A724" t="str">
            <v>سوشي هوم</v>
          </cell>
          <cell r="B724" t="str">
            <v>Horeca Smart</v>
          </cell>
          <cell r="C724" t="str">
            <v xml:space="preserve">عملاء كاش </v>
          </cell>
          <cell r="D724" t="str">
            <v>Shorouk khaled</v>
          </cell>
        </row>
        <row r="725">
          <cell r="A725" t="str">
            <v>سيفاروما لادارة المطاعم</v>
          </cell>
          <cell r="B725" t="str">
            <v>Horeca Smart</v>
          </cell>
          <cell r="C725" t="str">
            <v xml:space="preserve">عملاء كاش </v>
          </cell>
          <cell r="D725" t="str">
            <v>Mona Mohamed</v>
          </cell>
        </row>
        <row r="726">
          <cell r="A726" t="str">
            <v>شركة أكل بيتي للأغذية والمشروبات</v>
          </cell>
          <cell r="B726" t="str">
            <v>Horeca Smart</v>
          </cell>
          <cell r="C726" t="str">
            <v xml:space="preserve">عملاء كاش </v>
          </cell>
          <cell r="D726" t="str">
            <v>Reham Maher</v>
          </cell>
        </row>
        <row r="727">
          <cell r="A727" t="str">
            <v>شركة أنصارى للتوريدات</v>
          </cell>
          <cell r="B727" t="str">
            <v>Horeca Smart</v>
          </cell>
          <cell r="C727" t="str">
            <v xml:space="preserve">عملاء كاش </v>
          </cell>
          <cell r="D727" t="str">
            <v>Naden Amgad</v>
          </cell>
        </row>
        <row r="728">
          <cell r="A728" t="str">
            <v>شركة التيسير - الشيخ زايد</v>
          </cell>
          <cell r="B728" t="str">
            <v>Horeca Smart</v>
          </cell>
          <cell r="C728" t="str">
            <v xml:space="preserve">عملاء كاش </v>
          </cell>
          <cell r="D728" t="str">
            <v>Shorouk khaled</v>
          </cell>
        </row>
        <row r="729">
          <cell r="A729" t="str">
            <v>شركة الفتح للتوريدات العمومية</v>
          </cell>
          <cell r="B729" t="str">
            <v>Horeca Smart</v>
          </cell>
          <cell r="C729" t="str">
            <v xml:space="preserve">عملاء كاش </v>
          </cell>
          <cell r="D729" t="str">
            <v>Donia Khaled</v>
          </cell>
        </row>
        <row r="730">
          <cell r="A730" t="str">
            <v>شركة باكد</v>
          </cell>
          <cell r="B730" t="str">
            <v>MAS</v>
          </cell>
          <cell r="C730" t="str">
            <v xml:space="preserve">عملاء كاش </v>
          </cell>
          <cell r="D730" t="str">
            <v>Haddil Haron</v>
          </cell>
        </row>
        <row r="731">
          <cell r="A731" t="str">
            <v>شركة دراج فارما ايجيبت</v>
          </cell>
          <cell r="B731" t="str">
            <v>Horeca Smart</v>
          </cell>
          <cell r="C731" t="str">
            <v xml:space="preserve">عملاء كاش </v>
          </cell>
          <cell r="D731" t="str">
            <v>Naden Amgad</v>
          </cell>
        </row>
        <row r="732">
          <cell r="A732" t="str">
            <v>شركه step</v>
          </cell>
          <cell r="B732" t="str">
            <v>Horeca Smart</v>
          </cell>
          <cell r="C732" t="str">
            <v xml:space="preserve">عملاء كاش </v>
          </cell>
          <cell r="D732" t="str">
            <v>Mona Mohamed</v>
          </cell>
        </row>
        <row r="733">
          <cell r="A733" t="str">
            <v>عصائر الشربتلي</v>
          </cell>
          <cell r="B733" t="str">
            <v>Horeca Smart</v>
          </cell>
          <cell r="C733" t="str">
            <v xml:space="preserve">عملاء كاش </v>
          </cell>
          <cell r="D733" t="str">
            <v>Donia Khaled</v>
          </cell>
        </row>
        <row r="734">
          <cell r="A734" t="str">
            <v>عصائر القبيصي</v>
          </cell>
          <cell r="B734" t="str">
            <v>Horeca Smart</v>
          </cell>
          <cell r="C734" t="str">
            <v xml:space="preserve">عملاء كاش </v>
          </cell>
          <cell r="D734" t="str">
            <v>Lames Magdy</v>
          </cell>
        </row>
        <row r="735">
          <cell r="A735" t="str">
            <v>عصائر سيتي درينك -عباس العقاد</v>
          </cell>
          <cell r="B735" t="str">
            <v>Horeca Smart</v>
          </cell>
          <cell r="C735" t="str">
            <v xml:space="preserve">عملاء كاش </v>
          </cell>
          <cell r="D735" t="str">
            <v>Donia Khaled</v>
          </cell>
        </row>
        <row r="736">
          <cell r="A736" t="str">
            <v>عصفور لمستلزمات الحلويات</v>
          </cell>
          <cell r="B736" t="str">
            <v>Horeca Smart</v>
          </cell>
          <cell r="C736" t="str">
            <v xml:space="preserve">عملاء كاش </v>
          </cell>
          <cell r="D736" t="str">
            <v>Mona Mohamed</v>
          </cell>
        </row>
        <row r="737">
          <cell r="A737" t="str">
            <v>عصير نجمه الحلميه</v>
          </cell>
          <cell r="B737" t="str">
            <v>Horeca Smart</v>
          </cell>
          <cell r="C737" t="str">
            <v xml:space="preserve">عملاء كاش </v>
          </cell>
          <cell r="D737" t="str">
            <v>Mona Mohamed</v>
          </cell>
        </row>
        <row r="738">
          <cell r="A738" t="str">
            <v>فايف ستار</v>
          </cell>
          <cell r="B738" t="str">
            <v>Horeca Smart</v>
          </cell>
          <cell r="C738" t="str">
            <v xml:space="preserve">عملاء كاش </v>
          </cell>
          <cell r="D738" t="str">
            <v>Shorouk khaled</v>
          </cell>
        </row>
        <row r="739">
          <cell r="A739" t="str">
            <v>فطاير الخال</v>
          </cell>
          <cell r="B739" t="str">
            <v>Horeca Smart</v>
          </cell>
          <cell r="C739" t="str">
            <v xml:space="preserve">عملاء كاش </v>
          </cell>
          <cell r="D739" t="str">
            <v>Naden Amgad</v>
          </cell>
        </row>
        <row r="740">
          <cell r="A740" t="str">
            <v>فندق تمايا</v>
          </cell>
          <cell r="B740" t="str">
            <v>Horeca Smart</v>
          </cell>
          <cell r="C740" t="str">
            <v xml:space="preserve">عملاء كاش </v>
          </cell>
          <cell r="D740" t="str">
            <v>Naden Amgad</v>
          </cell>
        </row>
        <row r="741">
          <cell r="A741" t="str">
            <v>كافيه الريس</v>
          </cell>
          <cell r="B741" t="str">
            <v>Horeca Smart</v>
          </cell>
          <cell r="C741" t="str">
            <v xml:space="preserve">عملاء كاش </v>
          </cell>
          <cell r="D741" t="str">
            <v>Donia Khaled</v>
          </cell>
        </row>
        <row r="742">
          <cell r="A742" t="str">
            <v>كافيه العروبه</v>
          </cell>
          <cell r="B742" t="str">
            <v>Horeca Smart</v>
          </cell>
          <cell r="C742" t="str">
            <v xml:space="preserve">عملاء كاش </v>
          </cell>
          <cell r="D742" t="str">
            <v>Donia Khaled</v>
          </cell>
        </row>
        <row r="743">
          <cell r="A743" t="str">
            <v>كافيه بساطة _النزهة</v>
          </cell>
          <cell r="B743" t="str">
            <v>Horeca Smart</v>
          </cell>
          <cell r="C743" t="str">
            <v xml:space="preserve">عملاء كاش </v>
          </cell>
          <cell r="D743" t="str">
            <v>Naden Amgad</v>
          </cell>
        </row>
        <row r="744">
          <cell r="A744" t="str">
            <v>كافيه بن أثينا, كافيه بن أثينا, كافيه بن أثينا - الشروق</v>
          </cell>
          <cell r="B744" t="str">
            <v>Horeca Smart</v>
          </cell>
          <cell r="C744" t="str">
            <v xml:space="preserve">عملاء كاش </v>
          </cell>
          <cell r="D744" t="str">
            <v>Donia Khaled</v>
          </cell>
        </row>
        <row r="745">
          <cell r="A745" t="str">
            <v>كافيه تالنت, كافيه تالنت, نيو جيزة</v>
          </cell>
          <cell r="B745" t="str">
            <v>Horeca Smart</v>
          </cell>
          <cell r="C745" t="str">
            <v xml:space="preserve">عملاء كاش </v>
          </cell>
          <cell r="D745" t="str">
            <v>Mona Mohamed</v>
          </cell>
        </row>
        <row r="746">
          <cell r="A746" t="str">
            <v>كافيه شغف, كافيه شغف, كافيه شغف - الدقي</v>
          </cell>
          <cell r="B746" t="str">
            <v>Horeca Smart</v>
          </cell>
          <cell r="C746" t="str">
            <v xml:space="preserve">عملاء كاش </v>
          </cell>
          <cell r="D746" t="str">
            <v>Donia Khaled</v>
          </cell>
        </row>
        <row r="747">
          <cell r="A747" t="str">
            <v>كافيه شغف, كافيه شغف, كافيه شغف - المعادي</v>
          </cell>
          <cell r="B747" t="str">
            <v>Horeca Smart</v>
          </cell>
          <cell r="C747" t="str">
            <v xml:space="preserve">عملاء كاش </v>
          </cell>
          <cell r="D747" t="str">
            <v>Donia Khaled</v>
          </cell>
        </row>
        <row r="748">
          <cell r="A748" t="str">
            <v>كافيه شغف, كافيه شغف, كافيه شغف - روكسي</v>
          </cell>
          <cell r="B748" t="str">
            <v>Horeca Smart</v>
          </cell>
          <cell r="C748" t="str">
            <v xml:space="preserve">عملاء كاش </v>
          </cell>
          <cell r="D748" t="str">
            <v>Donia Khaled</v>
          </cell>
        </row>
        <row r="749">
          <cell r="A749" t="str">
            <v>كافيه فصله</v>
          </cell>
          <cell r="B749" t="str">
            <v>Horeca Smart</v>
          </cell>
          <cell r="C749" t="str">
            <v xml:space="preserve">عملاء كاش </v>
          </cell>
          <cell r="D749" t="str">
            <v>Reham Maher</v>
          </cell>
        </row>
        <row r="750">
          <cell r="A750" t="str">
            <v>كافيه قعدتنا</v>
          </cell>
          <cell r="B750" t="str">
            <v>Horeca Smart</v>
          </cell>
          <cell r="C750" t="str">
            <v xml:space="preserve">عملاء كاش </v>
          </cell>
          <cell r="D750" t="str">
            <v>Mona Mohamed</v>
          </cell>
        </row>
        <row r="751">
          <cell r="A751" t="str">
            <v>كافيه مورا</v>
          </cell>
          <cell r="B751" t="str">
            <v>MAS</v>
          </cell>
          <cell r="C751" t="str">
            <v xml:space="preserve">عملاء كاش </v>
          </cell>
          <cell r="D751" t="str">
            <v>Haddil Haron</v>
          </cell>
        </row>
        <row r="752">
          <cell r="A752" t="str">
            <v>كاليبسو كافيه</v>
          </cell>
          <cell r="B752" t="str">
            <v>Horeca Smart</v>
          </cell>
          <cell r="C752" t="str">
            <v xml:space="preserve">عملاء كاش </v>
          </cell>
          <cell r="D752" t="str">
            <v>Donia Khaled</v>
          </cell>
        </row>
        <row r="753">
          <cell r="A753" t="str">
            <v>كباب زبدة</v>
          </cell>
          <cell r="B753" t="str">
            <v>Horeca Smart</v>
          </cell>
          <cell r="C753" t="str">
            <v xml:space="preserve">عملاء كاش </v>
          </cell>
          <cell r="D753" t="str">
            <v>Reham Maher</v>
          </cell>
        </row>
        <row r="754">
          <cell r="A754" t="str">
            <v>كبابجي قصر السلطان</v>
          </cell>
          <cell r="B754" t="str">
            <v>Horeca Smart</v>
          </cell>
          <cell r="C754" t="str">
            <v xml:space="preserve">عملاء كاش </v>
          </cell>
          <cell r="D754" t="str">
            <v>Donia Khaled</v>
          </cell>
        </row>
        <row r="755">
          <cell r="A755" t="str">
            <v>كريب المزاريطه</v>
          </cell>
          <cell r="B755" t="str">
            <v>Horeca Smart</v>
          </cell>
          <cell r="C755" t="str">
            <v xml:space="preserve">عملاء كاش </v>
          </cell>
          <cell r="D755" t="str">
            <v>Hager Ahmed</v>
          </cell>
        </row>
        <row r="756">
          <cell r="A756" t="str">
            <v>كنيسة الشهيدة دميانة</v>
          </cell>
          <cell r="B756" t="str">
            <v>Horeca Smart</v>
          </cell>
          <cell r="C756" t="str">
            <v xml:space="preserve">عملاء كاش </v>
          </cell>
          <cell r="D756" t="str">
            <v>Reham Maher</v>
          </cell>
        </row>
        <row r="757">
          <cell r="A757" t="str">
            <v>لحوم انس</v>
          </cell>
          <cell r="B757" t="str">
            <v>Horeca Smart</v>
          </cell>
          <cell r="C757" t="str">
            <v xml:space="preserve">عملاء كاش </v>
          </cell>
          <cell r="D757" t="str">
            <v>Mona Mohamed</v>
          </cell>
        </row>
        <row r="758">
          <cell r="A758" t="str">
            <v>مخبز الحرية</v>
          </cell>
          <cell r="B758" t="str">
            <v>Horeca Smart</v>
          </cell>
          <cell r="C758" t="str">
            <v xml:space="preserve">عملاء كاش </v>
          </cell>
          <cell r="D758" t="str">
            <v>Reham Maher</v>
          </cell>
        </row>
        <row r="759">
          <cell r="A759" t="str">
            <v>مخبز الخير والبركة</v>
          </cell>
          <cell r="B759" t="str">
            <v>Horeca Smart</v>
          </cell>
          <cell r="C759" t="str">
            <v xml:space="preserve">عملاء كاش </v>
          </cell>
          <cell r="D759" t="str">
            <v>Naden Amgad</v>
          </cell>
        </row>
        <row r="760">
          <cell r="A760" t="str">
            <v>مخبز مكة</v>
          </cell>
          <cell r="B760" t="str">
            <v>Horeca Smart</v>
          </cell>
          <cell r="C760" t="str">
            <v xml:space="preserve">عملاء كاش </v>
          </cell>
          <cell r="D760" t="str">
            <v>Reham Maher</v>
          </cell>
        </row>
        <row r="761">
          <cell r="A761" t="str">
            <v>مخبز مكة-الزيتون</v>
          </cell>
          <cell r="B761" t="str">
            <v>Horeca Smart</v>
          </cell>
          <cell r="C761" t="str">
            <v xml:space="preserve">عملاء كاش </v>
          </cell>
          <cell r="D761" t="str">
            <v>Reham Maher</v>
          </cell>
        </row>
        <row r="762">
          <cell r="A762" t="str">
            <v>مخبز وحلواني مكة</v>
          </cell>
          <cell r="B762" t="str">
            <v>Horeca Smart</v>
          </cell>
          <cell r="C762" t="str">
            <v xml:space="preserve">عملاء كاش </v>
          </cell>
          <cell r="D762" t="str">
            <v>Reham Maher</v>
          </cell>
        </row>
        <row r="763">
          <cell r="A763" t="str">
            <v>مستر بيتزا</v>
          </cell>
          <cell r="B763" t="str">
            <v>Horeca Smart</v>
          </cell>
          <cell r="C763" t="str">
            <v xml:space="preserve">عملاء كاش </v>
          </cell>
          <cell r="D763" t="str">
            <v>Hager Ahmed</v>
          </cell>
        </row>
        <row r="764">
          <cell r="A764" t="str">
            <v>مطعم B&amp;f</v>
          </cell>
          <cell r="B764" t="str">
            <v>Horeca Smart</v>
          </cell>
          <cell r="C764" t="str">
            <v xml:space="preserve">عملاء كاش </v>
          </cell>
          <cell r="D764" t="str">
            <v>Mona Mohamed</v>
          </cell>
        </row>
        <row r="765">
          <cell r="A765" t="str">
            <v>مطعم الطيبات</v>
          </cell>
          <cell r="B765" t="str">
            <v>Horeca Smart</v>
          </cell>
          <cell r="C765" t="str">
            <v xml:space="preserve">عملاء كاش </v>
          </cell>
          <cell r="D765" t="str">
            <v>Mona Mohamed</v>
          </cell>
        </row>
        <row r="766">
          <cell r="A766" t="str">
            <v>مطعم دجاج وبندق</v>
          </cell>
          <cell r="B766" t="str">
            <v>Horeca Smart</v>
          </cell>
          <cell r="C766" t="str">
            <v xml:space="preserve">عملاء كاش </v>
          </cell>
          <cell r="D766" t="str">
            <v>Reham Maher</v>
          </cell>
        </row>
        <row r="767">
          <cell r="A767" t="str">
            <v>مطعم روستو -فيصل</v>
          </cell>
          <cell r="B767" t="str">
            <v>Horeca Smart</v>
          </cell>
          <cell r="C767" t="str">
            <v xml:space="preserve">عملاء كاش </v>
          </cell>
          <cell r="D767" t="str">
            <v>Naden Amgad</v>
          </cell>
        </row>
        <row r="768">
          <cell r="A768" t="str">
            <v>مطعم لافندر, مطعم لافندر, التجمع</v>
          </cell>
          <cell r="B768" t="str">
            <v>Horeca Smart</v>
          </cell>
          <cell r="C768" t="str">
            <v xml:space="preserve">عملاء كاش </v>
          </cell>
          <cell r="D768" t="str">
            <v>Lames Magdy</v>
          </cell>
        </row>
        <row r="769">
          <cell r="A769" t="str">
            <v>مطعم موبيسترو, مطعم موبيسترو, المخزن</v>
          </cell>
          <cell r="B769" t="str">
            <v>Horeca Smart</v>
          </cell>
          <cell r="C769" t="str">
            <v xml:space="preserve">عملاء كاش </v>
          </cell>
          <cell r="D769" t="str">
            <v>Naden Amgad</v>
          </cell>
        </row>
        <row r="770">
          <cell r="A770" t="str">
            <v>مطعم هيبو للمأكولات الصينية, مطعم هيبو للمأكولات الصينية, التجمع</v>
          </cell>
          <cell r="B770" t="str">
            <v>Horeca Smart</v>
          </cell>
          <cell r="C770" t="str">
            <v xml:space="preserve">عملاء كاش </v>
          </cell>
          <cell r="D770" t="str">
            <v>Donia Khaled</v>
          </cell>
        </row>
        <row r="771">
          <cell r="A771" t="str">
            <v>مطعم هيبو للمأكولات الصينية, مطعم هيبو للمأكولات الصينية, شبرا</v>
          </cell>
          <cell r="B771" t="str">
            <v>Horeca Smart</v>
          </cell>
          <cell r="C771" t="str">
            <v xml:space="preserve">عملاء كاش </v>
          </cell>
          <cell r="D771" t="str">
            <v>Donia Khaled</v>
          </cell>
        </row>
        <row r="772">
          <cell r="A772" t="str">
            <v>ملاذ الشام</v>
          </cell>
          <cell r="B772" t="str">
            <v>Horeca Smart</v>
          </cell>
          <cell r="C772" t="str">
            <v xml:space="preserve">عملاء كاش </v>
          </cell>
          <cell r="D772" t="str">
            <v>Shorouk khaled</v>
          </cell>
        </row>
        <row r="773">
          <cell r="A773" t="str">
            <v>منتا</v>
          </cell>
          <cell r="B773" t="str">
            <v>Horeca Smart</v>
          </cell>
          <cell r="C773" t="str">
            <v xml:space="preserve">عملاء كاش </v>
          </cell>
          <cell r="D773" t="str">
            <v>Donia Khaled</v>
          </cell>
        </row>
        <row r="774">
          <cell r="A774" t="str">
            <v>نيمورا الرحاب</v>
          </cell>
          <cell r="B774" t="str">
            <v>Horeca Smart</v>
          </cell>
          <cell r="C774" t="str">
            <v xml:space="preserve">عملاء كاش </v>
          </cell>
          <cell r="D774" t="str">
            <v>Lames Magdy</v>
          </cell>
        </row>
        <row r="775">
          <cell r="A775" t="str">
            <v>هاف مليون</v>
          </cell>
          <cell r="B775" t="str">
            <v>Horeca Smart</v>
          </cell>
          <cell r="C775" t="str">
            <v xml:space="preserve">عملاء كاش </v>
          </cell>
          <cell r="D775" t="str">
            <v>Hager Ahmed</v>
          </cell>
        </row>
        <row r="776">
          <cell r="A776" t="str">
            <v>هجر للصناعات الغذائية</v>
          </cell>
          <cell r="B776" t="str">
            <v>MAS</v>
          </cell>
          <cell r="C776" t="str">
            <v xml:space="preserve">عملاء كاش </v>
          </cell>
          <cell r="D776" t="str">
            <v>Haddil Haron</v>
          </cell>
        </row>
        <row r="777">
          <cell r="A777" t="str">
            <v>هيروز</v>
          </cell>
          <cell r="B777" t="str">
            <v>Horeca Smart</v>
          </cell>
          <cell r="C777" t="str">
            <v xml:space="preserve">عملاء كاش </v>
          </cell>
          <cell r="D777" t="str">
            <v>Shorouk khaled</v>
          </cell>
        </row>
        <row r="778">
          <cell r="A778" t="str">
            <v>ويزو</v>
          </cell>
          <cell r="B778" t="str">
            <v>Horeca Smart</v>
          </cell>
          <cell r="C778" t="str">
            <v xml:space="preserve">عملاء كاش </v>
          </cell>
          <cell r="D778" t="str">
            <v>Shorouk khaled</v>
          </cell>
        </row>
        <row r="779">
          <cell r="A779" t="str">
            <v>ياسر الغرباوي</v>
          </cell>
          <cell r="B779" t="str">
            <v>MAS</v>
          </cell>
          <cell r="C779" t="str">
            <v xml:space="preserve">عملاء كاش </v>
          </cell>
          <cell r="D779" t="str">
            <v>Haddil Haron</v>
          </cell>
        </row>
        <row r="780">
          <cell r="A780" t="str">
            <v>يسري كوفي</v>
          </cell>
          <cell r="B780" t="str">
            <v>Horeca Smart</v>
          </cell>
          <cell r="C780" t="str">
            <v xml:space="preserve">عملاء كاش </v>
          </cell>
          <cell r="D780" t="str">
            <v>Hager Ahmed</v>
          </cell>
        </row>
        <row r="781">
          <cell r="A781" t="str">
            <v>3BOYS Supplies Company, 3BOYS Supplies Company, 3BOYS Supplies Company,التجمع الخامس</v>
          </cell>
          <cell r="B781" t="str">
            <v>Horeca Smart</v>
          </cell>
          <cell r="C781" t="str">
            <v xml:space="preserve">عملاء كاش </v>
          </cell>
          <cell r="D781" t="str">
            <v>Reham Maher</v>
          </cell>
        </row>
        <row r="782">
          <cell r="A782" t="str">
            <v>8back Burgers, 8back Burgers, مصر الجديدة</v>
          </cell>
          <cell r="B782" t="str">
            <v>Horeca Smart</v>
          </cell>
          <cell r="D782" t="str">
            <v>Lames Magdy</v>
          </cell>
        </row>
        <row r="783">
          <cell r="A783" t="str">
            <v>Play Do</v>
          </cell>
        </row>
        <row r="784">
          <cell r="A784" t="str">
            <v>Swirkies, Swirkies, التجمع</v>
          </cell>
          <cell r="B784" t="str">
            <v>Horeca Smart</v>
          </cell>
          <cell r="C784" t="str">
            <v xml:space="preserve">عملاء كاش </v>
          </cell>
          <cell r="D784" t="str">
            <v>Naden Amgad</v>
          </cell>
        </row>
        <row r="785">
          <cell r="A785" t="str">
            <v>The Cooking School</v>
          </cell>
          <cell r="B785" t="str">
            <v>Horeca Smart</v>
          </cell>
          <cell r="C785" t="str">
            <v xml:space="preserve">عملاء كاش </v>
          </cell>
          <cell r="D785" t="str">
            <v>Donia Khaled</v>
          </cell>
        </row>
        <row r="786">
          <cell r="A786" t="str">
            <v>after glow coffee</v>
          </cell>
          <cell r="D786" t="str">
            <v>Naden Amgad</v>
          </cell>
        </row>
        <row r="787">
          <cell r="A787" t="str">
            <v>anne restaurant</v>
          </cell>
          <cell r="D787" t="str">
            <v>Naden Amgad</v>
          </cell>
        </row>
        <row r="788">
          <cell r="A788" t="str">
            <v>camora cafe</v>
          </cell>
          <cell r="D788" t="str">
            <v>Naden Amgad</v>
          </cell>
        </row>
        <row r="789">
          <cell r="A789" t="str">
            <v>for you cafe</v>
          </cell>
          <cell r="D789" t="str">
            <v>Naden Amgad</v>
          </cell>
        </row>
        <row r="790">
          <cell r="A790" t="str">
            <v>s.by sparkling goat coffee</v>
          </cell>
          <cell r="D790" t="str">
            <v>Naden Amgad</v>
          </cell>
        </row>
        <row r="791">
          <cell r="A791" t="str">
            <v>اسماك بحري, اسماك بحري, مطعم اسماك بحري - التجمع</v>
          </cell>
          <cell r="B791" t="str">
            <v>Horeca Smart</v>
          </cell>
          <cell r="C791" t="str">
            <v xml:space="preserve">عملاء كاش </v>
          </cell>
          <cell r="D791" t="str">
            <v>Lames Magdy</v>
          </cell>
        </row>
        <row r="792">
          <cell r="A792" t="str">
            <v>السيد عاطف- سوهاج</v>
          </cell>
          <cell r="D792" t="str">
            <v>Haddil Haron</v>
          </cell>
        </row>
        <row r="793">
          <cell r="A793" t="str">
            <v>القبيصى</v>
          </cell>
          <cell r="D793" t="str">
            <v>Naden Amgad</v>
          </cell>
        </row>
        <row r="794">
          <cell r="A794" t="str">
            <v>بوب سوشي - الدقى</v>
          </cell>
          <cell r="B794" t="str">
            <v>Horeca Smart</v>
          </cell>
          <cell r="C794" t="str">
            <v xml:space="preserve">عملاء كاش </v>
          </cell>
          <cell r="D794" t="str">
            <v>Naden Amgad</v>
          </cell>
        </row>
        <row r="795">
          <cell r="A795" t="str">
            <v>تحت الكوبرى</v>
          </cell>
          <cell r="B795" t="str">
            <v>Horeca Smart</v>
          </cell>
          <cell r="C795" t="str">
            <v xml:space="preserve">عملاء كاش </v>
          </cell>
          <cell r="D795" t="str">
            <v>Lames Magdy</v>
          </cell>
        </row>
        <row r="796">
          <cell r="A796" t="str">
            <v>تى ام تى للاستثمار التجارى TMT</v>
          </cell>
          <cell r="B796" t="str">
            <v>MAS</v>
          </cell>
          <cell r="C796" t="str">
            <v>موردين كاش</v>
          </cell>
          <cell r="D796" t="str">
            <v>Amgad Ahmed</v>
          </cell>
        </row>
        <row r="797">
          <cell r="A797" t="str">
            <v>حاتى شيخ البلد</v>
          </cell>
          <cell r="D797" t="str">
            <v>Naden Amgad</v>
          </cell>
        </row>
        <row r="798">
          <cell r="A798" t="str">
            <v>ريحانة, ريحانة, ريحانا_مدينتى</v>
          </cell>
          <cell r="B798" t="str">
            <v>Horeca Smart</v>
          </cell>
          <cell r="C798" t="str">
            <v xml:space="preserve">عملاء كاش </v>
          </cell>
          <cell r="D798" t="str">
            <v>Mona Mohamed</v>
          </cell>
        </row>
        <row r="799">
          <cell r="A799" t="str">
            <v>سمكة</v>
          </cell>
          <cell r="B799" t="str">
            <v>Horeca Smart</v>
          </cell>
          <cell r="C799" t="str">
            <v xml:space="preserve">عملاء كاش </v>
          </cell>
          <cell r="D799" t="str">
            <v>Donia Khaled</v>
          </cell>
        </row>
        <row r="800">
          <cell r="A800" t="str">
            <v>سوشي سبوت, سوشي سبوت, سوشي سبوت - المعادى</v>
          </cell>
          <cell r="B800" t="str">
            <v>Horeca Smart</v>
          </cell>
          <cell r="C800" t="str">
            <v xml:space="preserve">عملاء كاش </v>
          </cell>
          <cell r="D800" t="str">
            <v>Shorouk khaled</v>
          </cell>
        </row>
        <row r="801">
          <cell r="A801" t="str">
            <v>سيتى بروست</v>
          </cell>
          <cell r="D801" t="str">
            <v>Naden Amgad</v>
          </cell>
        </row>
        <row r="802">
          <cell r="A802" t="str">
            <v>شركة تروس للتوريدات والمقاولات, شركة تروس للتوريدات والمقاولات, شركة تروس للتوريدات والمقاولات -مخزن</v>
          </cell>
          <cell r="B802" t="str">
            <v>Horeca Smart</v>
          </cell>
          <cell r="C802" t="str">
            <v xml:space="preserve">عملاء كاش </v>
          </cell>
          <cell r="D802" t="str">
            <v>Reham Maher</v>
          </cell>
        </row>
        <row r="803">
          <cell r="A803" t="str">
            <v>شركة كوميونيتي ريستور انتس</v>
          </cell>
          <cell r="B803" t="str">
            <v>Horeca Smart</v>
          </cell>
          <cell r="C803" t="str">
            <v xml:space="preserve">عملاء كاش </v>
          </cell>
          <cell r="D803" t="str">
            <v>Naden Amgad</v>
          </cell>
        </row>
        <row r="804">
          <cell r="A804" t="str">
            <v>شركة نيفرديري</v>
          </cell>
          <cell r="B804" t="str">
            <v>Horeca Smart</v>
          </cell>
          <cell r="C804" t="str">
            <v xml:space="preserve">عملاء كاش </v>
          </cell>
          <cell r="D804" t="str">
            <v>Shorouk khaled</v>
          </cell>
        </row>
        <row r="805">
          <cell r="A805" t="str">
            <v>فطيرة زمان</v>
          </cell>
          <cell r="D805" t="str">
            <v>Naden Amgad</v>
          </cell>
        </row>
        <row r="806">
          <cell r="A806" t="str">
            <v>فويا, فويا, مدينة نصر</v>
          </cell>
          <cell r="B806" t="str">
            <v>Horeca Smart</v>
          </cell>
          <cell r="C806" t="str">
            <v xml:space="preserve">عملاء كاش </v>
          </cell>
          <cell r="D806" t="str">
            <v>Mona Mohamed</v>
          </cell>
        </row>
        <row r="807">
          <cell r="A807" t="str">
            <v>كافيه بن أثينا, كافيه بن أثينا, كافيه بن أثينا -العبور</v>
          </cell>
          <cell r="B807" t="str">
            <v>Horeca Smart</v>
          </cell>
          <cell r="C807" t="str">
            <v xml:space="preserve">عملاء كاش </v>
          </cell>
          <cell r="D807" t="str">
            <v>Donia Khaled</v>
          </cell>
        </row>
        <row r="808">
          <cell r="A808" t="str">
            <v>كافيه شغف, كافيه شغف, كافيه شغف - الماظة</v>
          </cell>
          <cell r="B808" t="str">
            <v>Horeca Smart</v>
          </cell>
          <cell r="C808" t="str">
            <v xml:space="preserve">عملاء كاش </v>
          </cell>
          <cell r="D808" t="str">
            <v>Donia Khaled</v>
          </cell>
        </row>
        <row r="809">
          <cell r="A809" t="str">
            <v>كافيه شغف, كافيه شغف, كافيه شغف - مصر القديمة</v>
          </cell>
          <cell r="B809" t="str">
            <v>Horeca Smart</v>
          </cell>
          <cell r="C809" t="str">
            <v xml:space="preserve">عملاء كاش </v>
          </cell>
          <cell r="D809" t="str">
            <v>Donia Khaled</v>
          </cell>
        </row>
        <row r="810">
          <cell r="A810" t="str">
            <v>كباب درويش</v>
          </cell>
          <cell r="D810" t="str">
            <v>Naden Amgad</v>
          </cell>
        </row>
        <row r="811">
          <cell r="A811" t="str">
            <v>كوبر ميلت للاغذية</v>
          </cell>
          <cell r="B811" t="str">
            <v>MAS</v>
          </cell>
          <cell r="C811" t="str">
            <v>عملاء اجل</v>
          </cell>
          <cell r="D811" t="str">
            <v>Haddil Haron</v>
          </cell>
        </row>
        <row r="812">
          <cell r="A812" t="str">
            <v>كوفي استيشن</v>
          </cell>
          <cell r="B812" t="str">
            <v>Horeca Smart</v>
          </cell>
          <cell r="C812" t="str">
            <v xml:space="preserve">عملاء كاش </v>
          </cell>
          <cell r="D812" t="str">
            <v>Donia Khaled</v>
          </cell>
        </row>
        <row r="813">
          <cell r="A813" t="str">
            <v>مطبخ بيت لحم</v>
          </cell>
          <cell r="B813" t="str">
            <v>Horeca Smart</v>
          </cell>
          <cell r="C813" t="str">
            <v xml:space="preserve">عملاء كاش </v>
          </cell>
          <cell r="D813" t="str">
            <v>Lames Magdy</v>
          </cell>
        </row>
        <row r="814">
          <cell r="A814" t="str">
            <v>مطعم بيلز بيلى, مطعم بيلز بيلى, الشيخ زايد</v>
          </cell>
          <cell r="B814" t="str">
            <v>Horeca Smart</v>
          </cell>
          <cell r="C814" t="str">
            <v xml:space="preserve">عملاء كاش </v>
          </cell>
          <cell r="D814" t="str">
            <v>Naden Amgad</v>
          </cell>
        </row>
        <row r="815">
          <cell r="A815" t="str">
            <v>مو سوشي, مو سوشي, الرحاب</v>
          </cell>
          <cell r="B815" t="str">
            <v>Horeca Smart</v>
          </cell>
          <cell r="C815" t="str">
            <v xml:space="preserve">عملاء كاش </v>
          </cell>
          <cell r="D815" t="str">
            <v>Naden Amgad</v>
          </cell>
        </row>
        <row r="816">
          <cell r="A816" t="str">
            <v>مو سوشي, مو سوشي, العجوزة</v>
          </cell>
          <cell r="B816" t="str">
            <v>Horeca Smart</v>
          </cell>
          <cell r="C816" t="str">
            <v xml:space="preserve">عملاء كاش </v>
          </cell>
          <cell r="D816" t="str">
            <v>Naden Amgad</v>
          </cell>
        </row>
        <row r="817">
          <cell r="A817" t="str">
            <v>موجة للمأكولات البحرية</v>
          </cell>
          <cell r="D817" t="str">
            <v>Naden Amgad</v>
          </cell>
        </row>
        <row r="818">
          <cell r="A818" t="str">
            <v>2202 Specialty coffee</v>
          </cell>
          <cell r="B818" t="str">
            <v>Horeca Smart</v>
          </cell>
          <cell r="C818" t="str">
            <v xml:space="preserve">عملاء كاش </v>
          </cell>
          <cell r="D818" t="str">
            <v>Reham Maher</v>
          </cell>
        </row>
        <row r="819">
          <cell r="A819" t="str">
            <v>3BOYS Supplies Company, 3BOYS Supplies Company, 3BOYS Supplies Company,المنطقة الصناعية</v>
          </cell>
          <cell r="B819" t="str">
            <v>Horeca Smart</v>
          </cell>
          <cell r="C819" t="str">
            <v xml:space="preserve">عملاء كاش </v>
          </cell>
          <cell r="D819" t="str">
            <v>Reham Maher</v>
          </cell>
        </row>
        <row r="820">
          <cell r="A820" t="str">
            <v>3Y</v>
          </cell>
          <cell r="B820" t="str">
            <v>Horeca Smart</v>
          </cell>
          <cell r="C820" t="str">
            <v xml:space="preserve">عملاء كاش </v>
          </cell>
          <cell r="D820" t="str">
            <v>Reham Maher</v>
          </cell>
        </row>
        <row r="821">
          <cell r="A821" t="str">
            <v>4U Cafe</v>
          </cell>
          <cell r="B821" t="str">
            <v>Horeca Smart</v>
          </cell>
          <cell r="C821" t="str">
            <v xml:space="preserve">عملاء كاش </v>
          </cell>
          <cell r="D821" t="str">
            <v>Reham Maher</v>
          </cell>
        </row>
        <row r="822">
          <cell r="A822" t="str">
            <v>4ever</v>
          </cell>
          <cell r="B822" t="str">
            <v>Horeca Smart</v>
          </cell>
          <cell r="C822" t="str">
            <v xml:space="preserve">عملاء كاش </v>
          </cell>
          <cell r="D822" t="str">
            <v>Reham Maher</v>
          </cell>
        </row>
        <row r="823">
          <cell r="A823" t="str">
            <v>4pack</v>
          </cell>
          <cell r="B823" t="str">
            <v>Horeca Smart</v>
          </cell>
          <cell r="C823" t="str">
            <v>موردين كاش</v>
          </cell>
          <cell r="D823" t="str">
            <v>Abdelrahman Ahmed</v>
          </cell>
        </row>
        <row r="824">
          <cell r="A824" t="str">
            <v>5fun st company</v>
          </cell>
          <cell r="B824" t="str">
            <v>Horeca Smart</v>
          </cell>
          <cell r="C824" t="str">
            <v xml:space="preserve">عملاء كاش </v>
          </cell>
          <cell r="D824" t="str">
            <v>Shorouk khaled</v>
          </cell>
        </row>
        <row r="825">
          <cell r="A825" t="str">
            <v>8oz Cafe&amp;Restaurant</v>
          </cell>
          <cell r="B825" t="str">
            <v>Horeca Smart</v>
          </cell>
          <cell r="C825" t="str">
            <v xml:space="preserve">عملاء كاش </v>
          </cell>
          <cell r="D825" t="str">
            <v>Reham Maher</v>
          </cell>
        </row>
        <row r="826">
          <cell r="A826" t="str">
            <v>9&amp;9</v>
          </cell>
          <cell r="B826" t="str">
            <v>Horeca Smart</v>
          </cell>
          <cell r="C826" t="str">
            <v xml:space="preserve">عملاء كاش </v>
          </cell>
          <cell r="D826" t="str">
            <v>Reham Maher</v>
          </cell>
        </row>
        <row r="827">
          <cell r="A827" t="str">
            <v>9AM Cafe</v>
          </cell>
          <cell r="B827" t="str">
            <v>Horeca Smart</v>
          </cell>
          <cell r="C827" t="str">
            <v xml:space="preserve">عملاء كاش </v>
          </cell>
          <cell r="D827" t="str">
            <v>Mona Mohamed</v>
          </cell>
        </row>
        <row r="828">
          <cell r="A828" t="str">
            <v>ABO GABR CAFE</v>
          </cell>
          <cell r="B828" t="str">
            <v>Horeca Smart</v>
          </cell>
          <cell r="C828" t="str">
            <v xml:space="preserve">عملاء كاش </v>
          </cell>
          <cell r="D828" t="str">
            <v>Reham Maher</v>
          </cell>
        </row>
        <row r="829">
          <cell r="A829" t="str">
            <v>ADEL ABD-ELGWAD</v>
          </cell>
          <cell r="C829" t="str">
            <v>موظفين</v>
          </cell>
        </row>
        <row r="830">
          <cell r="A830" t="str">
            <v>AHMED MOSATAFA</v>
          </cell>
          <cell r="C830" t="str">
            <v>موظفين</v>
          </cell>
        </row>
        <row r="831">
          <cell r="A831" t="str">
            <v>ASH Cafe&amp;Restaurant</v>
          </cell>
          <cell r="B831" t="str">
            <v>Horeca Smart</v>
          </cell>
          <cell r="C831" t="str">
            <v xml:space="preserve">عملاء كاش </v>
          </cell>
          <cell r="D831" t="str">
            <v>Reham Maher</v>
          </cell>
        </row>
        <row r="832">
          <cell r="A832" t="str">
            <v>AYHAM</v>
          </cell>
        </row>
        <row r="833">
          <cell r="A833" t="str">
            <v>Abdallah Seid</v>
          </cell>
          <cell r="B833" t="str">
            <v>Horeca Smart</v>
          </cell>
          <cell r="D833" t="str">
            <v>Naden Amgad</v>
          </cell>
        </row>
        <row r="834">
          <cell r="A834" t="str">
            <v>Abdelaziz Ismail</v>
          </cell>
          <cell r="C834" t="str">
            <v>موظفين</v>
          </cell>
        </row>
        <row r="835">
          <cell r="A835" t="str">
            <v>Abdelhalim</v>
          </cell>
          <cell r="B835" t="str">
            <v>Horeca Smart</v>
          </cell>
        </row>
        <row r="836">
          <cell r="A836" t="str">
            <v>Abdelrahman Ahmed</v>
          </cell>
          <cell r="C836" t="str">
            <v>موظفين</v>
          </cell>
        </row>
        <row r="837">
          <cell r="A837" t="str">
            <v>Abdelrahman Amin</v>
          </cell>
          <cell r="C837" t="str">
            <v>موظفين</v>
          </cell>
        </row>
        <row r="838">
          <cell r="A838" t="str">
            <v>Abdelrahman Bilal</v>
          </cell>
          <cell r="C838" t="str">
            <v>موظفين</v>
          </cell>
        </row>
        <row r="839">
          <cell r="A839" t="str">
            <v>Abdelrahman Mamdouh</v>
          </cell>
          <cell r="B839" t="str">
            <v>Horeca Smart</v>
          </cell>
        </row>
        <row r="840">
          <cell r="A840" t="str">
            <v>Abdelrahman glal</v>
          </cell>
          <cell r="C840" t="str">
            <v>موظفين</v>
          </cell>
        </row>
        <row r="841">
          <cell r="A841" t="str">
            <v>Abdo El Said</v>
          </cell>
        </row>
        <row r="842">
          <cell r="A842" t="str">
            <v>Abdo El Tayeb</v>
          </cell>
        </row>
        <row r="843">
          <cell r="A843" t="str">
            <v>Abdoush Burger</v>
          </cell>
          <cell r="B843" t="str">
            <v>Horeca Smart</v>
          </cell>
          <cell r="C843" t="str">
            <v xml:space="preserve">عملاء كاش </v>
          </cell>
          <cell r="D843" t="str">
            <v>Reham Maher</v>
          </cell>
        </row>
        <row r="844">
          <cell r="A844" t="str">
            <v>Abdullah Mahmoud</v>
          </cell>
          <cell r="C844" t="str">
            <v>موظفين</v>
          </cell>
          <cell r="D844" t="str">
            <v>Abdullah Mahmoud</v>
          </cell>
        </row>
        <row r="845">
          <cell r="A845" t="str">
            <v>Abdullah Morsi</v>
          </cell>
          <cell r="C845" t="str">
            <v>موظفين</v>
          </cell>
        </row>
        <row r="846">
          <cell r="A846" t="str">
            <v>Abdulsamad Mahmoud</v>
          </cell>
          <cell r="C846" t="str">
            <v>موظفين</v>
          </cell>
        </row>
        <row r="847">
          <cell r="A847" t="str">
            <v>Abdulsamad Mahmoud</v>
          </cell>
        </row>
        <row r="848">
          <cell r="A848" t="str">
            <v>Abo Malek</v>
          </cell>
        </row>
        <row r="849">
          <cell r="A849" t="str">
            <v>Adam's</v>
          </cell>
          <cell r="B849" t="str">
            <v>Horeca Smart</v>
          </cell>
          <cell r="C849" t="str">
            <v xml:space="preserve">عملاء كاش </v>
          </cell>
          <cell r="D849" t="str">
            <v>Naden Amgad</v>
          </cell>
        </row>
        <row r="850">
          <cell r="A850" t="str">
            <v>Administrator</v>
          </cell>
          <cell r="C850" t="str">
            <v>موظفين</v>
          </cell>
        </row>
        <row r="851">
          <cell r="A851" t="str">
            <v>Afandina Cafe</v>
          </cell>
          <cell r="B851" t="str">
            <v>Horeca Smart</v>
          </cell>
          <cell r="C851" t="str">
            <v xml:space="preserve">عملاء كاش </v>
          </cell>
          <cell r="D851" t="str">
            <v>Naden Amgad</v>
          </cell>
        </row>
        <row r="852">
          <cell r="A852" t="str">
            <v>Afandina Cafe, Afandina Cafe, فيصل</v>
          </cell>
          <cell r="C852" t="str">
            <v xml:space="preserve">عملاء كاش </v>
          </cell>
          <cell r="D852" t="str">
            <v>Naden Amgad</v>
          </cell>
        </row>
        <row r="853">
          <cell r="A853" t="str">
            <v>Afandina Cafe, Afandina Cafe, مدينة نصر</v>
          </cell>
          <cell r="C853" t="str">
            <v xml:space="preserve">عملاء كاش </v>
          </cell>
          <cell r="D853" t="str">
            <v>Reham Maher</v>
          </cell>
        </row>
        <row r="854">
          <cell r="A854" t="str">
            <v>Ahl Cairo Cafe 2</v>
          </cell>
          <cell r="B854" t="str">
            <v>Horeca Smart</v>
          </cell>
          <cell r="C854" t="str">
            <v xml:space="preserve">عملاء كاش </v>
          </cell>
          <cell r="D854" t="str">
            <v>Reham Maher</v>
          </cell>
        </row>
        <row r="855">
          <cell r="A855" t="str">
            <v>Ahmed</v>
          </cell>
        </row>
        <row r="856">
          <cell r="A856" t="str">
            <v>Ahmed Arma</v>
          </cell>
        </row>
        <row r="857">
          <cell r="A857" t="str">
            <v>Ahmed Farag</v>
          </cell>
          <cell r="C857" t="str">
            <v>موظفين</v>
          </cell>
        </row>
        <row r="858">
          <cell r="A858" t="str">
            <v>Ahmed Halal</v>
          </cell>
        </row>
        <row r="859">
          <cell r="A859" t="str">
            <v>Ahmed Hamdy</v>
          </cell>
          <cell r="C859" t="str">
            <v>موظفين</v>
          </cell>
        </row>
        <row r="860">
          <cell r="A860" t="str">
            <v>Ahmed Mahmoud</v>
          </cell>
        </row>
        <row r="861">
          <cell r="A861" t="str">
            <v>Ahmed Nour</v>
          </cell>
          <cell r="C861" t="str">
            <v>موظفين</v>
          </cell>
        </row>
        <row r="862">
          <cell r="A862" t="str">
            <v>Ahmed Saber</v>
          </cell>
        </row>
        <row r="863">
          <cell r="A863" t="str">
            <v>Ahmed Samy</v>
          </cell>
        </row>
        <row r="864">
          <cell r="A864" t="str">
            <v>Ahmed Sayed</v>
          </cell>
          <cell r="C864" t="str">
            <v>موظفين</v>
          </cell>
        </row>
        <row r="865">
          <cell r="A865" t="str">
            <v>Ahmed Shawqi</v>
          </cell>
        </row>
        <row r="866">
          <cell r="A866" t="str">
            <v>Ahmed Shehta</v>
          </cell>
          <cell r="C866" t="str">
            <v>موظفين</v>
          </cell>
          <cell r="D866" t="str">
            <v>Abdullah Mahmoud</v>
          </cell>
        </row>
        <row r="867">
          <cell r="A867" t="str">
            <v>Ahmed abdelnaby</v>
          </cell>
        </row>
        <row r="868">
          <cell r="A868" t="str">
            <v>Ahmed taha</v>
          </cell>
        </row>
        <row r="869">
          <cell r="A869" t="str">
            <v>Akher Lahza Restaurant</v>
          </cell>
          <cell r="B869" t="str">
            <v>Horeca Smart</v>
          </cell>
          <cell r="C869" t="str">
            <v xml:space="preserve">عملاء كاش </v>
          </cell>
          <cell r="D869" t="str">
            <v>Naden Amgad</v>
          </cell>
        </row>
        <row r="870">
          <cell r="A870" t="str">
            <v>Alex Cafe</v>
          </cell>
          <cell r="B870" t="str">
            <v>Horeca Smart</v>
          </cell>
          <cell r="C870" t="str">
            <v xml:space="preserve">عملاء كاش </v>
          </cell>
          <cell r="D870" t="str">
            <v>Reham Maher</v>
          </cell>
        </row>
        <row r="871">
          <cell r="A871" t="str">
            <v>Ali Abdaleem</v>
          </cell>
          <cell r="C871" t="str">
            <v>موظفين</v>
          </cell>
        </row>
        <row r="872">
          <cell r="A872" t="str">
            <v>Alla Grande</v>
          </cell>
          <cell r="B872" t="str">
            <v>Horeca Smart</v>
          </cell>
          <cell r="C872" t="str">
            <v xml:space="preserve">عملاء كاش </v>
          </cell>
          <cell r="D872" t="str">
            <v>Lames Magdy</v>
          </cell>
        </row>
        <row r="873">
          <cell r="A873" t="str">
            <v>Allora Cafe, Allora Cafe, الحداد</v>
          </cell>
          <cell r="B873" t="str">
            <v>Horeca Smart</v>
          </cell>
          <cell r="C873" t="str">
            <v xml:space="preserve">عملاء كاش </v>
          </cell>
          <cell r="D873" t="str">
            <v>Lames Magdy</v>
          </cell>
        </row>
        <row r="874">
          <cell r="A874" t="str">
            <v>Allora Cafe, Allora Cafe, السفارات</v>
          </cell>
          <cell r="B874" t="str">
            <v>Horeca Smart</v>
          </cell>
          <cell r="C874" t="str">
            <v xml:space="preserve">عملاء كاش </v>
          </cell>
          <cell r="D874" t="str">
            <v>Lames Magdy</v>
          </cell>
        </row>
        <row r="875">
          <cell r="A875" t="str">
            <v>Allora Cafe, Allora Cafe, مكرم عبيد</v>
          </cell>
          <cell r="B875" t="str">
            <v>Horeca Smart</v>
          </cell>
          <cell r="C875" t="str">
            <v xml:space="preserve">عملاء كاش </v>
          </cell>
          <cell r="D875" t="str">
            <v>Lames Magdy</v>
          </cell>
        </row>
        <row r="876">
          <cell r="A876" t="str">
            <v>All’s grade</v>
          </cell>
          <cell r="B876" t="str">
            <v>Horeca Smart</v>
          </cell>
          <cell r="C876" t="str">
            <v xml:space="preserve">عملاء كاش </v>
          </cell>
          <cell r="D876" t="str">
            <v>Reham Maher</v>
          </cell>
        </row>
        <row r="877">
          <cell r="A877" t="str">
            <v>Amelia Beirut</v>
          </cell>
          <cell r="B877" t="str">
            <v>Horeca Smart</v>
          </cell>
          <cell r="C877" t="str">
            <v xml:space="preserve">عملاء كاش </v>
          </cell>
          <cell r="D877" t="str">
            <v>Mona Mohamed</v>
          </cell>
        </row>
        <row r="878">
          <cell r="A878" t="str">
            <v>Amgad Ahmed</v>
          </cell>
          <cell r="C878" t="str">
            <v>موظفين</v>
          </cell>
        </row>
        <row r="879">
          <cell r="A879" t="str">
            <v>Amjad Ahmed</v>
          </cell>
          <cell r="C879" t="str">
            <v>موظفين</v>
          </cell>
        </row>
        <row r="880">
          <cell r="A880" t="str">
            <v>Amr</v>
          </cell>
        </row>
        <row r="881">
          <cell r="A881" t="str">
            <v>Ant5a cafe</v>
          </cell>
          <cell r="B881" t="str">
            <v>Horeca Smart</v>
          </cell>
          <cell r="C881" t="str">
            <v xml:space="preserve">عملاء كاش </v>
          </cell>
          <cell r="D881" t="str">
            <v>Reham Maher</v>
          </cell>
        </row>
        <row r="882">
          <cell r="A882" t="str">
            <v>Antifat</v>
          </cell>
          <cell r="B882" t="str">
            <v>Horeca Smart</v>
          </cell>
          <cell r="C882" t="str">
            <v xml:space="preserve">عملاء كاش </v>
          </cell>
          <cell r="D882" t="str">
            <v>Mona Mohamed</v>
          </cell>
        </row>
        <row r="883">
          <cell r="A883" t="str">
            <v>Antikano Cafe&amp;Resturant</v>
          </cell>
          <cell r="B883" t="str">
            <v>Horeca Smart</v>
          </cell>
          <cell r="C883" t="str">
            <v xml:space="preserve">عملاء كاش </v>
          </cell>
          <cell r="D883" t="str">
            <v>Reham Maher</v>
          </cell>
        </row>
        <row r="884">
          <cell r="A884" t="str">
            <v>Arabian cafe</v>
          </cell>
          <cell r="B884" t="str">
            <v>Horeca Smart</v>
          </cell>
          <cell r="C884" t="str">
            <v xml:space="preserve">عملاء كاش </v>
          </cell>
          <cell r="D884" t="str">
            <v>Shorouk khaled</v>
          </cell>
        </row>
        <row r="885">
          <cell r="A885" t="str">
            <v>Arabica coffe house</v>
          </cell>
          <cell r="B885" t="str">
            <v>Horeca Smart</v>
          </cell>
          <cell r="C885" t="str">
            <v xml:space="preserve">عملاء كاش </v>
          </cell>
          <cell r="D885" t="str">
            <v>Naden Amgad</v>
          </cell>
        </row>
        <row r="886">
          <cell r="A886" t="str">
            <v>Ardoor Restaurant</v>
          </cell>
          <cell r="B886" t="str">
            <v>Horeca Smart</v>
          </cell>
          <cell r="C886" t="str">
            <v xml:space="preserve">عملاء كاش </v>
          </cell>
          <cell r="D886" t="str">
            <v>Mona Mohamed</v>
          </cell>
        </row>
        <row r="887">
          <cell r="A887" t="str">
            <v>Ashraf Yasser</v>
          </cell>
          <cell r="C887" t="str">
            <v>موظفين</v>
          </cell>
        </row>
        <row r="888">
          <cell r="A888" t="str">
            <v>Aurora Cafe&amp;Restaurant</v>
          </cell>
          <cell r="B888" t="str">
            <v>Horeca Smart</v>
          </cell>
          <cell r="C888" t="str">
            <v xml:space="preserve">عملاء كاش </v>
          </cell>
          <cell r="D888" t="str">
            <v>Reham Maher</v>
          </cell>
        </row>
        <row r="889">
          <cell r="A889" t="str">
            <v>AvA Club</v>
          </cell>
          <cell r="B889" t="str">
            <v>Horeca Smart</v>
          </cell>
          <cell r="C889" t="str">
            <v xml:space="preserve">عملاء كاش </v>
          </cell>
          <cell r="D889" t="str">
            <v>Mona Mohamed</v>
          </cell>
        </row>
        <row r="890">
          <cell r="A890" t="str">
            <v>Awad Mohamed</v>
          </cell>
        </row>
        <row r="891">
          <cell r="A891" t="str">
            <v>BARN JAR</v>
          </cell>
          <cell r="B891" t="str">
            <v>Horeca Smart</v>
          </cell>
          <cell r="C891" t="str">
            <v xml:space="preserve">عملاء كاش </v>
          </cell>
          <cell r="D891" t="str">
            <v>Naden Amgad</v>
          </cell>
        </row>
        <row r="892">
          <cell r="A892" t="str">
            <v>BODUO</v>
          </cell>
          <cell r="B892" t="str">
            <v>Horeca Smart</v>
          </cell>
          <cell r="C892" t="str">
            <v xml:space="preserve">موردين اجل </v>
          </cell>
          <cell r="D892" t="str">
            <v>Amgad Ahmed</v>
          </cell>
        </row>
        <row r="893">
          <cell r="A893" t="str">
            <v>Baher Supplies</v>
          </cell>
          <cell r="B893" t="str">
            <v>MAS</v>
          </cell>
          <cell r="C893" t="str">
            <v xml:space="preserve">عملاء كاش </v>
          </cell>
          <cell r="D893" t="str">
            <v>Haddil Haron</v>
          </cell>
        </row>
        <row r="894">
          <cell r="A894" t="str">
            <v>Bahr Restaurant, Bahr Restaurant - التجمع</v>
          </cell>
          <cell r="B894" t="str">
            <v>Horeca Smart</v>
          </cell>
          <cell r="C894" t="str">
            <v xml:space="preserve">عملاء كاش </v>
          </cell>
          <cell r="D894" t="str">
            <v>Naden Amgad</v>
          </cell>
        </row>
        <row r="895">
          <cell r="A895" t="str">
            <v>Bahr Restaurant, Bahr Restaurant -الدقي</v>
          </cell>
          <cell r="B895" t="str">
            <v>Horeca Smart</v>
          </cell>
          <cell r="C895" t="str">
            <v xml:space="preserve">عملاء كاش </v>
          </cell>
          <cell r="D895" t="str">
            <v>Naden Amgad</v>
          </cell>
        </row>
        <row r="896">
          <cell r="A896" t="str">
            <v>Bakery Khan</v>
          </cell>
          <cell r="B896" t="str">
            <v>Horeca Smart</v>
          </cell>
          <cell r="C896" t="str">
            <v xml:space="preserve">عملاء كاش </v>
          </cell>
          <cell r="D896" t="str">
            <v>Reham Maher</v>
          </cell>
        </row>
        <row r="897">
          <cell r="A897" t="str">
            <v>Bakery Khan, Bakery Khan, Maadi</v>
          </cell>
          <cell r="B897" t="str">
            <v>Horeca Smart</v>
          </cell>
          <cell r="C897" t="str">
            <v xml:space="preserve">عملاء كاش </v>
          </cell>
          <cell r="D897" t="str">
            <v>Mona Mohamed</v>
          </cell>
        </row>
        <row r="898">
          <cell r="A898" t="str">
            <v>Bakery Khan, Bakery Khan, Naser City</v>
          </cell>
          <cell r="B898" t="str">
            <v>Horeca Smart</v>
          </cell>
          <cell r="C898" t="str">
            <v xml:space="preserve">عملاء كاش </v>
          </cell>
          <cell r="D898" t="str">
            <v>Reham Maher</v>
          </cell>
        </row>
        <row r="899">
          <cell r="A899" t="str">
            <v>Bakery Khan, Bakery Khan, New Cairo</v>
          </cell>
          <cell r="B899" t="str">
            <v>Horeca Smart</v>
          </cell>
          <cell r="C899" t="str">
            <v xml:space="preserve">عملاء كاش </v>
          </cell>
          <cell r="D899" t="str">
            <v>Lames Magdy</v>
          </cell>
        </row>
        <row r="900">
          <cell r="A900" t="str">
            <v>Bakery Khan, Bakery Khan, حدائق الاهرام</v>
          </cell>
          <cell r="B900" t="str">
            <v>Horeca Smart</v>
          </cell>
          <cell r="C900" t="str">
            <v xml:space="preserve">عملاء كاش </v>
          </cell>
          <cell r="D900" t="str">
            <v>Reham Maher</v>
          </cell>
        </row>
        <row r="901">
          <cell r="A901" t="str">
            <v>Bakery corner</v>
          </cell>
          <cell r="B901" t="str">
            <v>Horeca Smart</v>
          </cell>
          <cell r="C901" t="str">
            <v xml:space="preserve">عملاء كاش </v>
          </cell>
          <cell r="D901" t="str">
            <v>Reham Maher</v>
          </cell>
        </row>
        <row r="902">
          <cell r="A902" t="str">
            <v>Baraka green_Supplies</v>
          </cell>
          <cell r="B902" t="str">
            <v>MAS</v>
          </cell>
          <cell r="C902" t="str">
            <v xml:space="preserve">عملاء كاش </v>
          </cell>
          <cell r="D902" t="str">
            <v>Naden Amgad</v>
          </cell>
        </row>
        <row r="903">
          <cell r="A903" t="str">
            <v>Bardalis Resto Cafe</v>
          </cell>
          <cell r="B903" t="str">
            <v>Horeca Smart</v>
          </cell>
          <cell r="C903" t="str">
            <v xml:space="preserve">عملاء كاش </v>
          </cell>
          <cell r="D903" t="str">
            <v>Donia Khaled</v>
          </cell>
        </row>
        <row r="904">
          <cell r="A904" t="str">
            <v>Beaks Restaurant</v>
          </cell>
          <cell r="B904" t="str">
            <v>Horeca Smart</v>
          </cell>
          <cell r="C904" t="str">
            <v xml:space="preserve">عملاء كاش </v>
          </cell>
          <cell r="D904" t="str">
            <v>Lames Magdy</v>
          </cell>
        </row>
        <row r="905">
          <cell r="A905" t="str">
            <v>Bean Brand Restaurant</v>
          </cell>
          <cell r="B905" t="str">
            <v>Horeca Smart</v>
          </cell>
          <cell r="C905" t="str">
            <v xml:space="preserve">عملاء كاش </v>
          </cell>
          <cell r="D905" t="str">
            <v>Mona Mohamed</v>
          </cell>
        </row>
        <row r="906">
          <cell r="A906" t="str">
            <v>Bean n Bun</v>
          </cell>
          <cell r="B906" t="str">
            <v>Horeca Smart</v>
          </cell>
          <cell r="C906" t="str">
            <v xml:space="preserve">عملاء كاش </v>
          </cell>
          <cell r="D906" t="str">
            <v>Reham Maher</v>
          </cell>
        </row>
        <row r="907">
          <cell r="A907" t="str">
            <v>Bez Burger</v>
          </cell>
          <cell r="B907" t="str">
            <v>Horeca Smart</v>
          </cell>
          <cell r="C907" t="str">
            <v xml:space="preserve">عملاء كاش </v>
          </cell>
          <cell r="D907" t="str">
            <v>Donia Khaled</v>
          </cell>
        </row>
        <row r="908">
          <cell r="A908" t="str">
            <v>Bido Burger</v>
          </cell>
          <cell r="B908" t="str">
            <v>Horeca Smart</v>
          </cell>
          <cell r="C908" t="str">
            <v xml:space="preserve">عملاء كاش </v>
          </cell>
          <cell r="D908" t="str">
            <v>Reham Maher</v>
          </cell>
        </row>
        <row r="909">
          <cell r="A909" t="str">
            <v>Big Bite Chicken</v>
          </cell>
          <cell r="B909" t="str">
            <v>Horeca Smart</v>
          </cell>
          <cell r="C909" t="str">
            <v xml:space="preserve">عملاء كاش </v>
          </cell>
          <cell r="D909" t="str">
            <v>Reham Maher</v>
          </cell>
        </row>
        <row r="910">
          <cell r="A910" t="str">
            <v>Bistro Paris Restaurant&amp;cafe</v>
          </cell>
          <cell r="B910" t="str">
            <v>Horeca Smart</v>
          </cell>
          <cell r="C910" t="str">
            <v xml:space="preserve">عملاء كاش </v>
          </cell>
          <cell r="D910" t="str">
            <v>Mona Mohamed</v>
          </cell>
        </row>
        <row r="911">
          <cell r="A911" t="str">
            <v>Black Cafe</v>
          </cell>
          <cell r="B911" t="str">
            <v>Horeca Smart</v>
          </cell>
          <cell r="C911" t="str">
            <v xml:space="preserve">عملاء كاش </v>
          </cell>
          <cell r="D911" t="str">
            <v>Reham Maher</v>
          </cell>
        </row>
        <row r="912">
          <cell r="A912" t="str">
            <v>Black Motors _ Supplies</v>
          </cell>
          <cell r="B912" t="str">
            <v>Horeca Smart</v>
          </cell>
          <cell r="C912" t="str">
            <v xml:space="preserve">عملاء كاش </v>
          </cell>
          <cell r="D912" t="str">
            <v>Reham Maher</v>
          </cell>
        </row>
        <row r="913">
          <cell r="A913" t="str">
            <v>Black&amp;white Cafe</v>
          </cell>
          <cell r="B913" t="str">
            <v>Horeca Smart</v>
          </cell>
          <cell r="C913" t="str">
            <v xml:space="preserve">عملاء كاش </v>
          </cell>
          <cell r="D913" t="str">
            <v>Reham Maher</v>
          </cell>
        </row>
        <row r="914">
          <cell r="A914" t="str">
            <v>Blimey ChineseRestaurant</v>
          </cell>
          <cell r="B914" t="str">
            <v>Horeca Smart</v>
          </cell>
          <cell r="C914" t="str">
            <v xml:space="preserve">عملاء كاش </v>
          </cell>
          <cell r="D914" t="str">
            <v>Mona Mohamed</v>
          </cell>
        </row>
        <row r="915">
          <cell r="A915" t="str">
            <v>BoGo's</v>
          </cell>
          <cell r="B915" t="str">
            <v>Horeca Smart</v>
          </cell>
          <cell r="C915" t="str">
            <v xml:space="preserve">عملاء كاش </v>
          </cell>
          <cell r="D915" t="str">
            <v>Reham Maher</v>
          </cell>
        </row>
        <row r="916">
          <cell r="A916" t="str">
            <v>Body Makhzan</v>
          </cell>
        </row>
        <row r="917">
          <cell r="A917" t="str">
            <v>Bon bon coffe</v>
          </cell>
          <cell r="B917" t="str">
            <v>Horeca Smart</v>
          </cell>
          <cell r="C917" t="str">
            <v xml:space="preserve">عملاء كاش </v>
          </cell>
          <cell r="D917" t="str">
            <v>Mona Mohamed</v>
          </cell>
        </row>
        <row r="918">
          <cell r="A918" t="str">
            <v>Bonka Cafe&amp;Restaurant</v>
          </cell>
          <cell r="B918" t="str">
            <v>Horeca Smart</v>
          </cell>
          <cell r="C918" t="str">
            <v xml:space="preserve">عملاء كاش </v>
          </cell>
          <cell r="D918" t="str">
            <v>Mona Mohamed</v>
          </cell>
        </row>
        <row r="919">
          <cell r="A919" t="str">
            <v>Bono sushi</v>
          </cell>
          <cell r="B919" t="str">
            <v>Horeca Smart</v>
          </cell>
          <cell r="C919" t="str">
            <v xml:space="preserve">عملاء كاش </v>
          </cell>
          <cell r="D919" t="str">
            <v>Mona Mohamed</v>
          </cell>
        </row>
        <row r="920">
          <cell r="A920" t="str">
            <v>Bono sushi</v>
          </cell>
          <cell r="B920" t="str">
            <v>Horeca Smart</v>
          </cell>
          <cell r="C920" t="str">
            <v xml:space="preserve">عملاء كاش </v>
          </cell>
          <cell r="D920" t="str">
            <v>Mona Mohamed</v>
          </cell>
        </row>
        <row r="921">
          <cell r="A921" t="str">
            <v>Boom batates</v>
          </cell>
          <cell r="B921" t="str">
            <v>Horeca Smart</v>
          </cell>
          <cell r="C921" t="str">
            <v xml:space="preserve">عملاء كاش </v>
          </cell>
          <cell r="D921" t="str">
            <v>Mona Mohamed</v>
          </cell>
        </row>
        <row r="922">
          <cell r="A922" t="str">
            <v>Bow &amp; Ark</v>
          </cell>
          <cell r="B922" t="str">
            <v>Horeca Smart</v>
          </cell>
          <cell r="C922" t="str">
            <v xml:space="preserve">عملاء كاش </v>
          </cell>
          <cell r="D922" t="str">
            <v>Mona Mohamed</v>
          </cell>
        </row>
        <row r="923">
          <cell r="A923" t="str">
            <v>Bravos</v>
          </cell>
          <cell r="B923" t="str">
            <v>Horeca Smart</v>
          </cell>
          <cell r="C923" t="str">
            <v xml:space="preserve">عملاء كاش </v>
          </cell>
          <cell r="D923" t="str">
            <v>Mona Mohamed</v>
          </cell>
        </row>
        <row r="924">
          <cell r="A924" t="str">
            <v>Break &amp; Beans</v>
          </cell>
          <cell r="B924" t="str">
            <v>Horeca Smart</v>
          </cell>
          <cell r="C924" t="str">
            <v xml:space="preserve">عملاء كاش </v>
          </cell>
          <cell r="D924" t="str">
            <v>Mona Mohamed</v>
          </cell>
        </row>
        <row r="925">
          <cell r="A925" t="str">
            <v>Break Cafe</v>
          </cell>
          <cell r="B925" t="str">
            <v>Horeca Smart</v>
          </cell>
          <cell r="C925" t="str">
            <v xml:space="preserve">عملاء كاش </v>
          </cell>
          <cell r="D925" t="str">
            <v>Naden Amgad</v>
          </cell>
        </row>
        <row r="926">
          <cell r="A926" t="str">
            <v>Brew &amp; Chew</v>
          </cell>
          <cell r="B926" t="str">
            <v>Horeca Smart</v>
          </cell>
          <cell r="C926" t="str">
            <v xml:space="preserve">عملاء كاش </v>
          </cell>
          <cell r="D926" t="str">
            <v>Mona Mohamed</v>
          </cell>
        </row>
        <row r="927">
          <cell r="A927" t="str">
            <v>Brghr Restaurant&amp;cafe</v>
          </cell>
          <cell r="B927" t="str">
            <v>Horeca Smart</v>
          </cell>
          <cell r="C927" t="str">
            <v xml:space="preserve">عملاء كاش </v>
          </cell>
          <cell r="D927" t="str">
            <v>Mona Mohamed</v>
          </cell>
        </row>
        <row r="928">
          <cell r="A928" t="str">
            <v>Brito Cloud Kitchens</v>
          </cell>
          <cell r="B928" t="str">
            <v>Horeca Smart</v>
          </cell>
          <cell r="C928" t="str">
            <v xml:space="preserve">عملاء كاش </v>
          </cell>
          <cell r="D928" t="str">
            <v>Reham Maher</v>
          </cell>
        </row>
        <row r="929">
          <cell r="A929" t="str">
            <v>Brown Bakery _ الشيخ زايد</v>
          </cell>
          <cell r="B929" t="str">
            <v>Horeca Smart</v>
          </cell>
          <cell r="C929" t="str">
            <v xml:space="preserve">عملاء كاش </v>
          </cell>
          <cell r="D929" t="str">
            <v>Naden Amgad</v>
          </cell>
        </row>
        <row r="930">
          <cell r="A930" t="str">
            <v>Buk Buk</v>
          </cell>
          <cell r="B930" t="str">
            <v>Horeca Smart</v>
          </cell>
          <cell r="C930" t="str">
            <v xml:space="preserve">عملاء كاش </v>
          </cell>
          <cell r="D930" t="str">
            <v>Naden Amgad</v>
          </cell>
        </row>
        <row r="931">
          <cell r="A931" t="str">
            <v>Burger Club</v>
          </cell>
          <cell r="B931" t="str">
            <v>Horeca Smart</v>
          </cell>
          <cell r="C931" t="str">
            <v xml:space="preserve">عملاء كاش </v>
          </cell>
          <cell r="D931" t="str">
            <v>Mona Mohamed</v>
          </cell>
        </row>
        <row r="932">
          <cell r="A932" t="str">
            <v>Burger X</v>
          </cell>
          <cell r="B932" t="str">
            <v>Horeca Smart</v>
          </cell>
          <cell r="C932" t="str">
            <v xml:space="preserve">عملاء كاش </v>
          </cell>
          <cell r="D932" t="str">
            <v>Reham Maher</v>
          </cell>
        </row>
        <row r="933">
          <cell r="A933" t="str">
            <v>Burger attack</v>
          </cell>
          <cell r="B933" t="str">
            <v>Horeca Smart</v>
          </cell>
          <cell r="C933" t="str">
            <v xml:space="preserve">عملاء كاش </v>
          </cell>
          <cell r="D933" t="str">
            <v>Reham Maher</v>
          </cell>
        </row>
        <row r="934">
          <cell r="A934" t="str">
            <v>Burger&amp;fries , B&amp;F</v>
          </cell>
          <cell r="B934" t="str">
            <v>Horeca Smart</v>
          </cell>
          <cell r="C934" t="str">
            <v xml:space="preserve">عملاء كاش </v>
          </cell>
          <cell r="D934" t="str">
            <v>Lames Magdy</v>
          </cell>
        </row>
        <row r="935">
          <cell r="A935" t="str">
            <v>Burgist</v>
          </cell>
          <cell r="B935" t="str">
            <v>Horeca Smart</v>
          </cell>
          <cell r="C935" t="str">
            <v xml:space="preserve">عملاء كاش </v>
          </cell>
          <cell r="D935" t="str">
            <v>Reham Maher</v>
          </cell>
        </row>
        <row r="936">
          <cell r="A936" t="str">
            <v>Butter Crust</v>
          </cell>
          <cell r="B936" t="str">
            <v>Horeca Smart</v>
          </cell>
          <cell r="C936" t="str">
            <v xml:space="preserve">عملاء كاش </v>
          </cell>
          <cell r="D936" t="str">
            <v>Mona Mohamed</v>
          </cell>
        </row>
        <row r="937">
          <cell r="A937" t="str">
            <v>By hand Restaurant -المقطم</v>
          </cell>
          <cell r="B937" t="str">
            <v>Horeca Smart</v>
          </cell>
          <cell r="C937" t="str">
            <v xml:space="preserve">عملاء كاش </v>
          </cell>
          <cell r="D937" t="str">
            <v>Mona Mohamed</v>
          </cell>
        </row>
        <row r="938">
          <cell r="A938" t="str">
            <v>C-Sweet</v>
          </cell>
          <cell r="B938" t="str">
            <v>Horeca Smart</v>
          </cell>
          <cell r="C938" t="str">
            <v xml:space="preserve">عملاء كاش </v>
          </cell>
          <cell r="D938" t="str">
            <v>Mona Mohamed</v>
          </cell>
        </row>
        <row r="939">
          <cell r="A939" t="str">
            <v>CHICKENZA</v>
          </cell>
          <cell r="B939" t="str">
            <v>Horeca Smart</v>
          </cell>
          <cell r="C939" t="str">
            <v xml:space="preserve">عملاء كاش </v>
          </cell>
          <cell r="D939" t="str">
            <v>Reham Maher</v>
          </cell>
        </row>
        <row r="940">
          <cell r="A940" t="str">
            <v>COBRA Cafe</v>
          </cell>
          <cell r="B940" t="str">
            <v>Horeca Smart</v>
          </cell>
          <cell r="C940" t="str">
            <v xml:space="preserve">عملاء كاش </v>
          </cell>
          <cell r="D940" t="str">
            <v>Mona Mohamed</v>
          </cell>
        </row>
        <row r="941">
          <cell r="A941" t="str">
            <v>COCOBON</v>
          </cell>
          <cell r="B941" t="str">
            <v>Horeca Smart</v>
          </cell>
          <cell r="C941" t="str">
            <v xml:space="preserve">عملاء كاش </v>
          </cell>
          <cell r="D941" t="str">
            <v>Naden Amgad</v>
          </cell>
        </row>
        <row r="942">
          <cell r="A942" t="str">
            <v>COUNTRY HILLS, COUNTRY HILLS, اكتوبر</v>
          </cell>
          <cell r="B942" t="str">
            <v>Horeca Smart</v>
          </cell>
          <cell r="C942" t="str">
            <v xml:space="preserve">عملاء كاش </v>
          </cell>
          <cell r="D942" t="str">
            <v>Lames Magdy</v>
          </cell>
        </row>
        <row r="943">
          <cell r="A943" t="str">
            <v>CRUMBS</v>
          </cell>
          <cell r="B943" t="str">
            <v>Horeca Smart</v>
          </cell>
          <cell r="C943" t="str">
            <v xml:space="preserve">عملاء كاش </v>
          </cell>
          <cell r="D943" t="str">
            <v>Mona Mohamed</v>
          </cell>
        </row>
        <row r="944">
          <cell r="A944" t="str">
            <v>CULT لادارة المطاعم</v>
          </cell>
          <cell r="B944" t="str">
            <v>Horeca Smart</v>
          </cell>
          <cell r="C944" t="str">
            <v xml:space="preserve">عملاء كاش </v>
          </cell>
          <cell r="D944" t="str">
            <v>Naden Amgad</v>
          </cell>
        </row>
        <row r="945">
          <cell r="A945" t="str">
            <v>CUPRESSO, CUPRESSO, عباس العقاد</v>
          </cell>
          <cell r="B945" t="str">
            <v>Horeca Smart</v>
          </cell>
          <cell r="C945" t="str">
            <v xml:space="preserve">عملاء كاش </v>
          </cell>
          <cell r="D945" t="str">
            <v>Reham Maher</v>
          </cell>
        </row>
        <row r="946">
          <cell r="A946" t="str">
            <v>CUPRESSO, CUPRESSO, مدينتي</v>
          </cell>
          <cell r="B946" t="str">
            <v>Horeca Smart</v>
          </cell>
          <cell r="C946" t="str">
            <v xml:space="preserve">عملاء كاش </v>
          </cell>
          <cell r="D946" t="str">
            <v>Mona Mohamed</v>
          </cell>
        </row>
        <row r="947">
          <cell r="A947" t="str">
            <v>CZ Cafe</v>
          </cell>
          <cell r="B947" t="str">
            <v>Horeca Smart</v>
          </cell>
          <cell r="C947" t="str">
            <v xml:space="preserve">عملاء كاش </v>
          </cell>
          <cell r="D947" t="str">
            <v>Mona Mohamed</v>
          </cell>
        </row>
        <row r="948">
          <cell r="A948" t="str">
            <v>Cabra Cafe</v>
          </cell>
          <cell r="B948" t="str">
            <v>Horeca Smart</v>
          </cell>
          <cell r="C948" t="str">
            <v xml:space="preserve">عملاء كاش </v>
          </cell>
          <cell r="D948" t="str">
            <v>Mona Mohamed</v>
          </cell>
        </row>
        <row r="949">
          <cell r="A949" t="str">
            <v>Cactus Cafe&amp;Restaurant</v>
          </cell>
          <cell r="B949" t="str">
            <v>Horeca Smart</v>
          </cell>
          <cell r="C949" t="str">
            <v xml:space="preserve">عملاء كاش </v>
          </cell>
          <cell r="D949" t="str">
            <v>Reham Maher</v>
          </cell>
        </row>
        <row r="950">
          <cell r="A950" t="str">
            <v>Cafe N/A</v>
          </cell>
          <cell r="B950" t="str">
            <v>Horeca Smart</v>
          </cell>
          <cell r="C950" t="str">
            <v xml:space="preserve">عملاء كاش </v>
          </cell>
          <cell r="D950" t="str">
            <v>Reham Maher</v>
          </cell>
        </row>
        <row r="951">
          <cell r="A951" t="str">
            <v>Cafeina cafe</v>
          </cell>
          <cell r="B951" t="str">
            <v>Horeca Smart</v>
          </cell>
          <cell r="C951" t="str">
            <v xml:space="preserve">عملاء كاش </v>
          </cell>
          <cell r="D951" t="str">
            <v>Mona Mohamed</v>
          </cell>
        </row>
        <row r="952">
          <cell r="A952" t="str">
            <v>Caffe 9 AM - (SP)</v>
          </cell>
          <cell r="B952" t="str">
            <v>Horeca Smart</v>
          </cell>
          <cell r="C952" t="str">
            <v xml:space="preserve">عملاء كاش </v>
          </cell>
          <cell r="D952" t="str">
            <v>Mona Mohamed</v>
          </cell>
        </row>
        <row r="953">
          <cell r="A953" t="str">
            <v>Caffe 9 AM - (SP), Caffe 9 AM - (SP), الشروق</v>
          </cell>
          <cell r="B953" t="str">
            <v>Horeca Smart</v>
          </cell>
          <cell r="C953" t="str">
            <v xml:space="preserve">عملاء كاش </v>
          </cell>
          <cell r="D953" t="str">
            <v>Mona Mohamed</v>
          </cell>
        </row>
        <row r="954">
          <cell r="A954" t="str">
            <v>Caffe 9 AM - (SP), Caffe 9 AM - (SP), مدينتي</v>
          </cell>
          <cell r="B954" t="str">
            <v>Horeca Smart</v>
          </cell>
          <cell r="C954" t="str">
            <v xml:space="preserve">عملاء كاش </v>
          </cell>
          <cell r="D954" t="str">
            <v>Mona Mohamed</v>
          </cell>
        </row>
        <row r="955">
          <cell r="A955" t="str">
            <v>Caffe drinks</v>
          </cell>
          <cell r="B955" t="str">
            <v>Horeca Smart</v>
          </cell>
          <cell r="C955" t="str">
            <v xml:space="preserve">عملاء كاش </v>
          </cell>
          <cell r="D955" t="str">
            <v>Naden Amgad</v>
          </cell>
        </row>
        <row r="956">
          <cell r="A956" t="str">
            <v>Caffeino Cafe&amp;Restaurant</v>
          </cell>
          <cell r="B956" t="str">
            <v>Horeca Smart</v>
          </cell>
          <cell r="C956" t="str">
            <v xml:space="preserve">عملاء كاش </v>
          </cell>
          <cell r="D956" t="str">
            <v>Reham Maher</v>
          </cell>
        </row>
        <row r="957">
          <cell r="A957" t="str">
            <v>Cai Eats</v>
          </cell>
          <cell r="B957" t="str">
            <v>Horeca Smart</v>
          </cell>
          <cell r="C957" t="str">
            <v xml:space="preserve">عملاء كاش </v>
          </cell>
          <cell r="D957" t="str">
            <v>Naden Amgad</v>
          </cell>
        </row>
        <row r="958">
          <cell r="A958" t="str">
            <v>Cairo’s Restaurant</v>
          </cell>
          <cell r="B958" t="str">
            <v>Horeca Smart</v>
          </cell>
          <cell r="C958" t="str">
            <v xml:space="preserve">عملاء كاش </v>
          </cell>
          <cell r="D958" t="str">
            <v>Mona Mohamed</v>
          </cell>
        </row>
        <row r="959">
          <cell r="A959" t="str">
            <v>Cake &amp; bake</v>
          </cell>
          <cell r="B959" t="str">
            <v>Horeca Smart</v>
          </cell>
          <cell r="C959" t="str">
            <v xml:space="preserve">عملاء كاش </v>
          </cell>
          <cell r="D959" t="str">
            <v>Mona Mohamed</v>
          </cell>
        </row>
        <row r="960">
          <cell r="A960" t="str">
            <v>Candy Flowers</v>
          </cell>
          <cell r="B960" t="str">
            <v>Horeca Smart</v>
          </cell>
          <cell r="C960" t="str">
            <v xml:space="preserve">عملاء كاش </v>
          </cell>
          <cell r="D960" t="str">
            <v>Naden Amgad</v>
          </cell>
        </row>
        <row r="961">
          <cell r="A961" t="str">
            <v>Cannero Cafe&amp;Restaurant</v>
          </cell>
          <cell r="B961" t="str">
            <v>Horeca Smart</v>
          </cell>
          <cell r="C961" t="str">
            <v xml:space="preserve">عملاء كاش </v>
          </cell>
          <cell r="D961" t="str">
            <v>Reham Maher</v>
          </cell>
        </row>
        <row r="962">
          <cell r="A962" t="str">
            <v>Capital</v>
          </cell>
          <cell r="B962" t="str">
            <v>Horeca Smart</v>
          </cell>
          <cell r="C962" t="str">
            <v xml:space="preserve">عملاء كاش </v>
          </cell>
          <cell r="D962" t="str">
            <v>Reham Maher</v>
          </cell>
        </row>
        <row r="963">
          <cell r="A963" t="str">
            <v>Capital Cafe</v>
          </cell>
          <cell r="B963" t="str">
            <v>Horeca Smart</v>
          </cell>
          <cell r="C963" t="str">
            <v xml:space="preserve">عملاء كاش </v>
          </cell>
          <cell r="D963" t="str">
            <v>Reham Maher</v>
          </cell>
        </row>
        <row r="964">
          <cell r="A964" t="str">
            <v>Caramel Cafe</v>
          </cell>
          <cell r="B964" t="str">
            <v>Horeca Smart</v>
          </cell>
          <cell r="C964" t="str">
            <v xml:space="preserve">عملاء كاش </v>
          </cell>
          <cell r="D964" t="str">
            <v>Reham Maher</v>
          </cell>
        </row>
        <row r="965">
          <cell r="A965" t="str">
            <v>Carl</v>
          </cell>
        </row>
        <row r="966">
          <cell r="A966" t="str">
            <v>Casper&amp;Gambini`s</v>
          </cell>
          <cell r="B966" t="str">
            <v>Horeca Smart</v>
          </cell>
          <cell r="C966" t="str">
            <v xml:space="preserve">عملاء كاش </v>
          </cell>
          <cell r="D966" t="str">
            <v>Rasha Hassan</v>
          </cell>
        </row>
        <row r="967">
          <cell r="A967" t="str">
            <v>Castella Restaurant&amp;cafe</v>
          </cell>
          <cell r="B967" t="str">
            <v>Horeca Smart</v>
          </cell>
          <cell r="C967" t="str">
            <v xml:space="preserve">عملاء كاش </v>
          </cell>
          <cell r="D967" t="str">
            <v>Donia Khaled</v>
          </cell>
        </row>
        <row r="968">
          <cell r="A968" t="str">
            <v>Cave cafe</v>
          </cell>
          <cell r="B968" t="str">
            <v>Horeca Smart</v>
          </cell>
          <cell r="C968" t="str">
            <v xml:space="preserve">عملاء كاش </v>
          </cell>
          <cell r="D968" t="str">
            <v>Reham Maher</v>
          </cell>
        </row>
        <row r="969">
          <cell r="A969" t="str">
            <v>Cello</v>
          </cell>
          <cell r="B969" t="str">
            <v>Horeca Smart</v>
          </cell>
          <cell r="C969" t="str">
            <v xml:space="preserve">عملاء كاش </v>
          </cell>
          <cell r="D969" t="str">
            <v>Mona Mohamed</v>
          </cell>
        </row>
        <row r="970">
          <cell r="A970" t="str">
            <v>Charminar Era</v>
          </cell>
          <cell r="B970" t="str">
            <v>Horeca Smart</v>
          </cell>
          <cell r="C970" t="str">
            <v xml:space="preserve">عملاء كاش </v>
          </cell>
          <cell r="D970" t="str">
            <v>Mona Mohamed</v>
          </cell>
        </row>
        <row r="971">
          <cell r="A971" t="str">
            <v>Chocolate bar</v>
          </cell>
          <cell r="B971" t="str">
            <v>Horeca Smart</v>
          </cell>
          <cell r="C971" t="str">
            <v xml:space="preserve">عملاء كاش </v>
          </cell>
          <cell r="D971" t="str">
            <v>Mona Mohamed</v>
          </cell>
        </row>
        <row r="972">
          <cell r="A972" t="str">
            <v>Chow Chow</v>
          </cell>
          <cell r="B972" t="str">
            <v>Horeca Smart</v>
          </cell>
          <cell r="C972" t="str">
            <v xml:space="preserve">عملاء كاش </v>
          </cell>
          <cell r="D972" t="str">
            <v>Reham Maher</v>
          </cell>
        </row>
        <row r="973">
          <cell r="A973" t="str">
            <v>Cinebar</v>
          </cell>
          <cell r="B973" t="str">
            <v>Horeca Smart</v>
          </cell>
          <cell r="C973" t="str">
            <v xml:space="preserve">عملاء كاش </v>
          </cell>
          <cell r="D973" t="str">
            <v>Mona Mohamed</v>
          </cell>
        </row>
        <row r="974">
          <cell r="A974" t="str">
            <v>City Drink</v>
          </cell>
          <cell r="B974" t="str">
            <v>Horeca Smart</v>
          </cell>
          <cell r="C974" t="str">
            <v xml:space="preserve">عملاء كاش </v>
          </cell>
          <cell r="D974" t="str">
            <v>Reham Maher</v>
          </cell>
        </row>
        <row r="975">
          <cell r="A975" t="str">
            <v>City bakery</v>
          </cell>
          <cell r="B975" t="str">
            <v>Horeca Smart</v>
          </cell>
          <cell r="C975" t="str">
            <v xml:space="preserve">عملاء كاش </v>
          </cell>
          <cell r="D975" t="str">
            <v>Naden Amgad</v>
          </cell>
        </row>
        <row r="976">
          <cell r="A976" t="str">
            <v>City juice</v>
          </cell>
          <cell r="B976" t="str">
            <v>Horeca Smart</v>
          </cell>
          <cell r="C976" t="str">
            <v xml:space="preserve">عملاء كاش </v>
          </cell>
          <cell r="D976" t="str">
            <v>Reham Maher</v>
          </cell>
        </row>
        <row r="977">
          <cell r="A977" t="str">
            <v>Classic Rock Coffee</v>
          </cell>
          <cell r="B977" t="str">
            <v>Horeca Smart</v>
          </cell>
          <cell r="C977" t="str">
            <v xml:space="preserve">عملاء كاش </v>
          </cell>
          <cell r="D977" t="str">
            <v>Lames Magdy</v>
          </cell>
        </row>
        <row r="978">
          <cell r="A978" t="str">
            <v>Club Cafe</v>
          </cell>
          <cell r="B978" t="str">
            <v>Horeca Smart</v>
          </cell>
          <cell r="C978" t="str">
            <v xml:space="preserve">عملاء كاش </v>
          </cell>
          <cell r="D978" t="str">
            <v>Mona Mohamed</v>
          </cell>
        </row>
        <row r="979">
          <cell r="A979" t="str">
            <v>Cobra Restaurant</v>
          </cell>
          <cell r="B979" t="str">
            <v>Horeca Smart</v>
          </cell>
          <cell r="C979" t="str">
            <v xml:space="preserve">عملاء كاش </v>
          </cell>
          <cell r="D979" t="str">
            <v>Reham Maher</v>
          </cell>
        </row>
        <row r="980">
          <cell r="A980" t="str">
            <v>Coffe Break</v>
          </cell>
          <cell r="B980" t="str">
            <v>Horeca Smart</v>
          </cell>
          <cell r="C980" t="str">
            <v xml:space="preserve">عملاء كاش </v>
          </cell>
          <cell r="D980" t="str">
            <v>Naden Amgad</v>
          </cell>
        </row>
        <row r="981">
          <cell r="A981" t="str">
            <v>Coffe Cafe</v>
          </cell>
          <cell r="B981" t="str">
            <v>Horeca Smart</v>
          </cell>
          <cell r="C981" t="str">
            <v xml:space="preserve">عملاء كاش </v>
          </cell>
          <cell r="D981" t="str">
            <v>Reham Maher</v>
          </cell>
        </row>
        <row r="982">
          <cell r="A982" t="str">
            <v>Coffe School Alexandria</v>
          </cell>
          <cell r="B982" t="str">
            <v>MAS</v>
          </cell>
          <cell r="C982" t="str">
            <v xml:space="preserve">عملاء كاش </v>
          </cell>
          <cell r="D982" t="str">
            <v>Haddil Haron</v>
          </cell>
        </row>
        <row r="983">
          <cell r="A983" t="str">
            <v>Coffee Holics</v>
          </cell>
          <cell r="B983" t="str">
            <v>Horeca Smart</v>
          </cell>
          <cell r="C983" t="str">
            <v xml:space="preserve">عملاء كاش </v>
          </cell>
          <cell r="D983" t="str">
            <v>Mona Mohamed</v>
          </cell>
        </row>
        <row r="984">
          <cell r="A984" t="str">
            <v>Coffio</v>
          </cell>
          <cell r="B984" t="str">
            <v>Horeca Smart</v>
          </cell>
          <cell r="C984" t="str">
            <v xml:space="preserve">عملاء كاش </v>
          </cell>
          <cell r="D984" t="str">
            <v>Lames Magdy</v>
          </cell>
        </row>
        <row r="985">
          <cell r="A985" t="str">
            <v>Comida cloud kitchen</v>
          </cell>
          <cell r="B985" t="str">
            <v>Horeca Smart</v>
          </cell>
          <cell r="C985" t="str">
            <v xml:space="preserve">عملاء كاش </v>
          </cell>
          <cell r="D985" t="str">
            <v>Mona Mohamed</v>
          </cell>
        </row>
        <row r="986">
          <cell r="A986" t="str">
            <v>Community Cafe</v>
          </cell>
          <cell r="B986" t="str">
            <v>Horeca Smart</v>
          </cell>
          <cell r="C986" t="str">
            <v xml:space="preserve">عملاء كاش </v>
          </cell>
          <cell r="D986" t="str">
            <v>Mona Mohamed</v>
          </cell>
        </row>
        <row r="987">
          <cell r="A987" t="str">
            <v>Company coffee</v>
          </cell>
          <cell r="B987" t="str">
            <v>Horeca Smart</v>
          </cell>
          <cell r="C987" t="str">
            <v xml:space="preserve">عملاء كاش </v>
          </cell>
          <cell r="D987" t="str">
            <v>Mona Mohamed</v>
          </cell>
        </row>
        <row r="988">
          <cell r="A988" t="str">
            <v>Corner Cafe</v>
          </cell>
          <cell r="B988" t="str">
            <v>Horeca Smart</v>
          </cell>
          <cell r="C988" t="str">
            <v xml:space="preserve">عملاء كاش </v>
          </cell>
          <cell r="D988" t="str">
            <v>Naden Amgad</v>
          </cell>
        </row>
        <row r="989">
          <cell r="A989" t="str">
            <v>Costa Lekka Cafe&amp;Restaurant</v>
          </cell>
          <cell r="B989" t="str">
            <v>Horeca Smart</v>
          </cell>
          <cell r="C989" t="str">
            <v xml:space="preserve">عملاء كاش </v>
          </cell>
          <cell r="D989" t="str">
            <v>Mona Mohamed</v>
          </cell>
        </row>
        <row r="990">
          <cell r="A990" t="str">
            <v>Coy Cafe&amp;Restaurant</v>
          </cell>
          <cell r="B990" t="str">
            <v>Horeca Smart</v>
          </cell>
          <cell r="C990" t="str">
            <v xml:space="preserve">عملاء كاش </v>
          </cell>
          <cell r="D990" t="str">
            <v>Reham Maher</v>
          </cell>
        </row>
        <row r="991">
          <cell r="A991" t="str">
            <v>Cozy</v>
          </cell>
          <cell r="B991" t="str">
            <v>Horeca Smart</v>
          </cell>
          <cell r="C991" t="str">
            <v xml:space="preserve">عملاء كاش </v>
          </cell>
          <cell r="D991" t="str">
            <v>Reham Maher</v>
          </cell>
        </row>
        <row r="992">
          <cell r="A992" t="str">
            <v>Crc for trade توريدات</v>
          </cell>
          <cell r="B992" t="str">
            <v>Horeca Smart</v>
          </cell>
          <cell r="C992" t="str">
            <v xml:space="preserve">عملاء كاش </v>
          </cell>
          <cell r="D992" t="str">
            <v>Reham Maher</v>
          </cell>
        </row>
        <row r="993">
          <cell r="A993" t="str">
            <v>Creamio cafe</v>
          </cell>
          <cell r="B993" t="str">
            <v>Horeca Smart</v>
          </cell>
          <cell r="C993" t="str">
            <v xml:space="preserve">عملاء كاش </v>
          </cell>
          <cell r="D993" t="str">
            <v>Reham Maher</v>
          </cell>
        </row>
        <row r="994">
          <cell r="A994" t="str">
            <v>Crepeccino</v>
          </cell>
          <cell r="B994" t="str">
            <v>Horeca Smart</v>
          </cell>
          <cell r="C994" t="str">
            <v xml:space="preserve">عملاء كاش </v>
          </cell>
          <cell r="D994" t="str">
            <v>Reham Maher</v>
          </cell>
        </row>
        <row r="995">
          <cell r="A995" t="str">
            <v>Crepiano</v>
          </cell>
          <cell r="B995" t="str">
            <v>Horeca Smart</v>
          </cell>
          <cell r="C995" t="str">
            <v xml:space="preserve">عملاء كاش </v>
          </cell>
          <cell r="D995" t="str">
            <v>Reham Maher</v>
          </cell>
        </row>
        <row r="996">
          <cell r="A996" t="str">
            <v>Crispy meals(النزهه)</v>
          </cell>
          <cell r="B996" t="str">
            <v>Horeca Smart</v>
          </cell>
          <cell r="C996" t="str">
            <v xml:space="preserve">عملاء كاش </v>
          </cell>
          <cell r="D996" t="str">
            <v>Mona Mohamed</v>
          </cell>
        </row>
        <row r="997">
          <cell r="A997" t="str">
            <v>Crunchika Restaurant ‏‪‬‏</v>
          </cell>
          <cell r="B997" t="str">
            <v>Horeca Smart</v>
          </cell>
          <cell r="C997" t="str">
            <v xml:space="preserve">عملاء كاش </v>
          </cell>
          <cell r="D997" t="str">
            <v>Reham Maher</v>
          </cell>
        </row>
        <row r="998">
          <cell r="A998" t="str">
            <v>Cube Space</v>
          </cell>
          <cell r="B998" t="str">
            <v>Horeca Smart</v>
          </cell>
          <cell r="C998" t="str">
            <v xml:space="preserve">عملاء كاش </v>
          </cell>
          <cell r="D998" t="str">
            <v>Mona Mohamed</v>
          </cell>
        </row>
        <row r="999">
          <cell r="A999" t="str">
            <v>Cup &amp; Task</v>
          </cell>
          <cell r="B999" t="str">
            <v>Horeca Smart</v>
          </cell>
          <cell r="C999" t="str">
            <v xml:space="preserve">عملاء كاش </v>
          </cell>
          <cell r="D999" t="str">
            <v>Mona Mohamed</v>
          </cell>
        </row>
        <row r="1000">
          <cell r="A1000" t="str">
            <v>Cusp Cafe</v>
          </cell>
          <cell r="B1000" t="str">
            <v>Horeca Smart</v>
          </cell>
          <cell r="C1000" t="str">
            <v xml:space="preserve">عملاء كاش </v>
          </cell>
          <cell r="D1000" t="str">
            <v>Naden Amgad</v>
          </cell>
        </row>
        <row r="1001">
          <cell r="A1001" t="str">
            <v>Cut's and Nuts</v>
          </cell>
          <cell r="B1001" t="str">
            <v>Horeca Smart</v>
          </cell>
          <cell r="C1001" t="str">
            <v xml:space="preserve">عملاء كاش </v>
          </cell>
          <cell r="D1001" t="str">
            <v>Naden Amgad</v>
          </cell>
        </row>
        <row r="1002">
          <cell r="A1002" t="str">
            <v>DUETTO</v>
          </cell>
          <cell r="B1002" t="str">
            <v>Horeca Smart</v>
          </cell>
          <cell r="C1002" t="str">
            <v xml:space="preserve">عملاء كاش </v>
          </cell>
          <cell r="D1002" t="str">
            <v>Naden Amgad</v>
          </cell>
        </row>
        <row r="1003">
          <cell r="A1003" t="str">
            <v>Daily Sips Coffee, Daily Sips Coffee, 6 اكتوبر</v>
          </cell>
          <cell r="B1003" t="str">
            <v>Horeca Smart</v>
          </cell>
          <cell r="C1003" t="str">
            <v xml:space="preserve">عملاء كاش </v>
          </cell>
          <cell r="D1003" t="str">
            <v>Naden Amgad</v>
          </cell>
        </row>
        <row r="1004">
          <cell r="A1004" t="str">
            <v>Daily Sips Coffee, Daily Sips Coffee, المعادي</v>
          </cell>
          <cell r="B1004" t="str">
            <v>Horeca Smart</v>
          </cell>
          <cell r="C1004" t="str">
            <v xml:space="preserve">عملاء كاش </v>
          </cell>
          <cell r="D1004" t="str">
            <v>Naden Amgad</v>
          </cell>
        </row>
        <row r="1005">
          <cell r="A1005" t="str">
            <v>Daily Sips Coffee, Daily Sips Coffee, مول جولف كورنر</v>
          </cell>
          <cell r="B1005" t="str">
            <v>Horeca Smart</v>
          </cell>
          <cell r="C1005" t="str">
            <v xml:space="preserve">عملاء كاش </v>
          </cell>
          <cell r="D1005" t="str">
            <v>Naden Amgad</v>
          </cell>
        </row>
        <row r="1006">
          <cell r="A1006" t="str">
            <v>Dampa</v>
          </cell>
          <cell r="B1006" t="str">
            <v>Horeca Smart</v>
          </cell>
          <cell r="C1006" t="str">
            <v xml:space="preserve">عملاء كاش </v>
          </cell>
          <cell r="D1006" t="str">
            <v>Reham Maher</v>
          </cell>
        </row>
        <row r="1007">
          <cell r="A1007" t="str">
            <v>Dark solutions Cafe</v>
          </cell>
          <cell r="B1007" t="str">
            <v>Horeca Smart</v>
          </cell>
          <cell r="C1007" t="str">
            <v xml:space="preserve">عملاء كاش </v>
          </cell>
          <cell r="D1007" t="str">
            <v>Mona Mohamed</v>
          </cell>
        </row>
        <row r="1008">
          <cell r="A1008" t="str">
            <v>Debonairs pizza -الدقي</v>
          </cell>
          <cell r="B1008" t="str">
            <v>Horeca Smart</v>
          </cell>
          <cell r="C1008" t="str">
            <v xml:space="preserve">عملاء كاش </v>
          </cell>
          <cell r="D1008" t="str">
            <v>Hager Ahmed</v>
          </cell>
        </row>
        <row r="1009">
          <cell r="A1009" t="str">
            <v>Deep Cheese</v>
          </cell>
          <cell r="B1009" t="str">
            <v>Horeca Smart</v>
          </cell>
          <cell r="C1009" t="str">
            <v xml:space="preserve">عملاء كاش </v>
          </cell>
          <cell r="D1009" t="str">
            <v>Mona Mohamed</v>
          </cell>
        </row>
        <row r="1010">
          <cell r="A1010" t="str">
            <v>Default User Template</v>
          </cell>
          <cell r="C1010" t="str">
            <v>موظفين</v>
          </cell>
        </row>
        <row r="1011">
          <cell r="A1011" t="str">
            <v>Depresso cafe</v>
          </cell>
          <cell r="B1011" t="str">
            <v>Horeca Smart</v>
          </cell>
          <cell r="C1011" t="str">
            <v xml:space="preserve">عملاء كاش </v>
          </cell>
          <cell r="D1011" t="str">
            <v>Naden Amgad</v>
          </cell>
        </row>
        <row r="1012">
          <cell r="A1012" t="str">
            <v>Diaa Eid</v>
          </cell>
          <cell r="C1012" t="str">
            <v>موظفين</v>
          </cell>
        </row>
        <row r="1013">
          <cell r="A1013" t="str">
            <v>Diaa Samir</v>
          </cell>
        </row>
        <row r="1014">
          <cell r="A1014" t="str">
            <v>Diablo Cafe</v>
          </cell>
          <cell r="B1014" t="str">
            <v>Horeca Smart</v>
          </cell>
          <cell r="C1014" t="str">
            <v xml:space="preserve">عملاء كاش </v>
          </cell>
          <cell r="D1014" t="str">
            <v>Mona Mohamed</v>
          </cell>
        </row>
        <row r="1015">
          <cell r="A1015" t="str">
            <v>Dice Playstation cafe</v>
          </cell>
          <cell r="B1015" t="str">
            <v>Horeca Smart</v>
          </cell>
          <cell r="C1015" t="str">
            <v xml:space="preserve">عملاء كاش </v>
          </cell>
          <cell r="D1015" t="str">
            <v>Reham Maher</v>
          </cell>
        </row>
        <row r="1016">
          <cell r="A1016" t="str">
            <v>Dinir</v>
          </cell>
          <cell r="B1016" t="str">
            <v>Horeca Smart</v>
          </cell>
          <cell r="C1016" t="str">
            <v xml:space="preserve">عملاء كاش </v>
          </cell>
          <cell r="D1016" t="str">
            <v>Mona Mohamed</v>
          </cell>
        </row>
        <row r="1017">
          <cell r="A1017" t="str">
            <v>Doctor Mood</v>
          </cell>
          <cell r="B1017" t="str">
            <v>Horeca Smart</v>
          </cell>
          <cell r="C1017" t="str">
            <v xml:space="preserve">عملاء كاش </v>
          </cell>
          <cell r="D1017" t="str">
            <v>Lames Magdy</v>
          </cell>
        </row>
        <row r="1018">
          <cell r="A1018" t="str">
            <v>Donia Khaled</v>
          </cell>
          <cell r="C1018" t="str">
            <v>موظفين</v>
          </cell>
        </row>
        <row r="1019">
          <cell r="A1019" t="str">
            <v>Donna del mare</v>
          </cell>
          <cell r="B1019" t="str">
            <v>Horeca Smart</v>
          </cell>
          <cell r="C1019" t="str">
            <v xml:space="preserve">عملاء كاش </v>
          </cell>
          <cell r="D1019" t="str">
            <v>Mona Mohamed</v>
          </cell>
        </row>
        <row r="1020">
          <cell r="A1020" t="str">
            <v>Doodge Burger</v>
          </cell>
          <cell r="B1020" t="str">
            <v>Horeca Smart</v>
          </cell>
          <cell r="C1020" t="str">
            <v xml:space="preserve">عملاء كاش </v>
          </cell>
          <cell r="D1020" t="str">
            <v>Mona Mohamed</v>
          </cell>
        </row>
        <row r="1021">
          <cell r="A1021" t="str">
            <v>Double Dose</v>
          </cell>
          <cell r="B1021" t="str">
            <v>Horeca Smart</v>
          </cell>
          <cell r="C1021" t="str">
            <v xml:space="preserve">عملاء كاش </v>
          </cell>
          <cell r="D1021" t="str">
            <v>Naden Amgad</v>
          </cell>
        </row>
        <row r="1022">
          <cell r="A1022" t="str">
            <v>Doux</v>
          </cell>
          <cell r="B1022" t="str">
            <v>Horeca Smart</v>
          </cell>
          <cell r="C1022" t="str">
            <v xml:space="preserve">عملاء كاش </v>
          </cell>
          <cell r="D1022" t="str">
            <v>Reham Maher</v>
          </cell>
        </row>
        <row r="1023">
          <cell r="A1023" t="str">
            <v>Dr.fresh</v>
          </cell>
          <cell r="B1023" t="str">
            <v>Horeca Smart</v>
          </cell>
          <cell r="C1023" t="str">
            <v xml:space="preserve">عملاء كاش </v>
          </cell>
          <cell r="D1023" t="str">
            <v>Lames Magdy</v>
          </cell>
        </row>
        <row r="1024">
          <cell r="A1024" t="str">
            <v>Dream Cafe&amp;Resturant</v>
          </cell>
          <cell r="B1024" t="str">
            <v>Horeca Smart</v>
          </cell>
          <cell r="C1024" t="str">
            <v xml:space="preserve">عملاء كاش </v>
          </cell>
          <cell r="D1024" t="str">
            <v>Reham Maher</v>
          </cell>
        </row>
        <row r="1025">
          <cell r="A1025" t="str">
            <v>Drip Specialty coffee</v>
          </cell>
          <cell r="B1025" t="str">
            <v>Horeca Smart</v>
          </cell>
          <cell r="C1025" t="str">
            <v xml:space="preserve">عملاء كاش </v>
          </cell>
          <cell r="D1025" t="str">
            <v>Donia Khaled</v>
          </cell>
        </row>
        <row r="1026">
          <cell r="A1026" t="str">
            <v>Dunner</v>
          </cell>
          <cell r="B1026" t="str">
            <v>Horeca Smart</v>
          </cell>
          <cell r="C1026" t="str">
            <v xml:space="preserve">عملاء كاش </v>
          </cell>
          <cell r="D1026" t="str">
            <v>Mona Mohamed</v>
          </cell>
        </row>
        <row r="1027">
          <cell r="A1027" t="str">
            <v>ECHO Playstation &amp; Cafe</v>
          </cell>
          <cell r="B1027" t="str">
            <v>Horeca Smart</v>
          </cell>
          <cell r="C1027" t="str">
            <v xml:space="preserve">عملاء كاش </v>
          </cell>
          <cell r="D1027" t="str">
            <v>Reham Maher</v>
          </cell>
        </row>
        <row r="1028">
          <cell r="A1028" t="str">
            <v>EL-SHEKH OMAR</v>
          </cell>
          <cell r="C1028" t="str">
            <v>موظفين</v>
          </cell>
        </row>
        <row r="1029">
          <cell r="A1029" t="str">
            <v>Ebrahim Ahmed</v>
          </cell>
          <cell r="C1029" t="str">
            <v>موظفين</v>
          </cell>
        </row>
        <row r="1030">
          <cell r="A1030" t="str">
            <v>Edam's Beirut Restaurant&amp;cafe</v>
          </cell>
          <cell r="B1030" t="str">
            <v>Horeca Smart</v>
          </cell>
          <cell r="C1030" t="str">
            <v xml:space="preserve">عملاء كاش </v>
          </cell>
          <cell r="D1030" t="str">
            <v>Mona Mohamed</v>
          </cell>
        </row>
        <row r="1031">
          <cell r="A1031" t="str">
            <v>Egypt Healthcare</v>
          </cell>
          <cell r="B1031" t="str">
            <v>Horeca Smart</v>
          </cell>
          <cell r="C1031" t="str">
            <v xml:space="preserve">عملاء كاش </v>
          </cell>
          <cell r="D1031" t="str">
            <v>Shorouk khaled</v>
          </cell>
        </row>
        <row r="1032">
          <cell r="A1032" t="str">
            <v>Ehab gamal</v>
          </cell>
        </row>
        <row r="1033">
          <cell r="A1033" t="str">
            <v>El Baron Cafe&amp;Restaurant</v>
          </cell>
          <cell r="B1033" t="str">
            <v>Horeca Smart</v>
          </cell>
          <cell r="C1033" t="str">
            <v xml:space="preserve">عملاء كاش </v>
          </cell>
          <cell r="D1033" t="str">
            <v>Mona Mohamed</v>
          </cell>
        </row>
        <row r="1034">
          <cell r="A1034" t="str">
            <v>El Zelzal Coffee</v>
          </cell>
          <cell r="B1034" t="str">
            <v>Horeca Smart</v>
          </cell>
          <cell r="C1034" t="str">
            <v xml:space="preserve">عملاء كاش </v>
          </cell>
          <cell r="D1034" t="str">
            <v>Lames Magdy</v>
          </cell>
        </row>
        <row r="1035">
          <cell r="A1035" t="str">
            <v>Elemenis Cafe&amp;Restaurant</v>
          </cell>
          <cell r="B1035" t="str">
            <v>Horeca Smart</v>
          </cell>
          <cell r="C1035" t="str">
            <v xml:space="preserve">عملاء كاش </v>
          </cell>
          <cell r="D1035" t="str">
            <v>Naden Amgad</v>
          </cell>
        </row>
        <row r="1036">
          <cell r="A1036" t="str">
            <v>Entercoute Cafe&amp;Restaurant</v>
          </cell>
          <cell r="B1036" t="str">
            <v>Horeca Smart</v>
          </cell>
          <cell r="C1036" t="str">
            <v xml:space="preserve">عملاء كاش </v>
          </cell>
          <cell r="D1036" t="str">
            <v>Naden Amgad</v>
          </cell>
        </row>
        <row r="1037">
          <cell r="A1037" t="str">
            <v>Eslam mohamed</v>
          </cell>
        </row>
        <row r="1038">
          <cell r="A1038" t="str">
            <v>Eslam salah</v>
          </cell>
        </row>
        <row r="1039">
          <cell r="A1039" t="str">
            <v>Estashio cafe</v>
          </cell>
          <cell r="B1039" t="str">
            <v>Horeca Smart</v>
          </cell>
          <cell r="C1039" t="str">
            <v xml:space="preserve">عملاء كاش </v>
          </cell>
          <cell r="D1039" t="str">
            <v>Naden Amgad</v>
          </cell>
        </row>
        <row r="1040">
          <cell r="A1040" t="str">
            <v>Estro Cafe</v>
          </cell>
          <cell r="B1040" t="str">
            <v>Horeca Smart</v>
          </cell>
          <cell r="C1040" t="str">
            <v xml:space="preserve">عملاء كاش </v>
          </cell>
          <cell r="D1040" t="str">
            <v>Reham Maher</v>
          </cell>
        </row>
        <row r="1041">
          <cell r="A1041" t="str">
            <v>Event</v>
          </cell>
          <cell r="B1041" t="str">
            <v>Horeca Smart</v>
          </cell>
          <cell r="C1041" t="str">
            <v xml:space="preserve">عملاء كاش </v>
          </cell>
          <cell r="D1041" t="str">
            <v>Naden Amgad</v>
          </cell>
        </row>
        <row r="1042">
          <cell r="A1042" t="str">
            <v>Excellence Group Supplies</v>
          </cell>
          <cell r="B1042" t="str">
            <v>Horeca Smart</v>
          </cell>
          <cell r="C1042" t="str">
            <v xml:space="preserve">عملاء كاش </v>
          </cell>
          <cell r="D1042" t="str">
            <v>Mona Mohamed</v>
          </cell>
        </row>
        <row r="1043">
          <cell r="A1043" t="str">
            <v>Express</v>
          </cell>
          <cell r="B1043" t="str">
            <v>Horeca Smart</v>
          </cell>
          <cell r="C1043" t="str">
            <v xml:space="preserve">عملاء كاش </v>
          </cell>
          <cell r="D1043" t="str">
            <v>Mona Mohamed</v>
          </cell>
        </row>
        <row r="1044">
          <cell r="A1044" t="str">
            <v>FMB Restaurant</v>
          </cell>
          <cell r="B1044" t="str">
            <v>Horeca Smart</v>
          </cell>
          <cell r="C1044" t="str">
            <v xml:space="preserve">عملاء كاش </v>
          </cell>
          <cell r="D1044" t="str">
            <v>Naden Amgad</v>
          </cell>
        </row>
        <row r="1045">
          <cell r="A1045" t="str">
            <v>Fanchy Restaurant</v>
          </cell>
          <cell r="B1045" t="str">
            <v>Horeca Smart</v>
          </cell>
          <cell r="C1045" t="str">
            <v xml:space="preserve">عملاء كاش </v>
          </cell>
          <cell r="D1045" t="str">
            <v>Reham Maher</v>
          </cell>
        </row>
        <row r="1046">
          <cell r="A1046" t="str">
            <v>Fanchy Restaurant, Fanchy Restaurant, المصنع</v>
          </cell>
          <cell r="B1046" t="str">
            <v>Horeca Smart</v>
          </cell>
          <cell r="C1046" t="str">
            <v xml:space="preserve">عملاء كاش </v>
          </cell>
          <cell r="D1046" t="str">
            <v>Mona Mohamed</v>
          </cell>
        </row>
        <row r="1047">
          <cell r="A1047" t="str">
            <v>Fanchy Restaurant, Fanchy Restaurant, مصر الجديدة</v>
          </cell>
          <cell r="B1047" t="str">
            <v>Horeca Smart</v>
          </cell>
          <cell r="C1047" t="str">
            <v xml:space="preserve">عملاء كاش </v>
          </cell>
          <cell r="D1047" t="str">
            <v>Reham Maher</v>
          </cell>
        </row>
        <row r="1048">
          <cell r="A1048" t="str">
            <v>Farfasha Cafe</v>
          </cell>
          <cell r="B1048" t="str">
            <v>Horeca Smart</v>
          </cell>
          <cell r="C1048" t="str">
            <v xml:space="preserve">عملاء كاش </v>
          </cell>
          <cell r="D1048" t="str">
            <v>Reham Maher</v>
          </cell>
        </row>
        <row r="1049">
          <cell r="A1049" t="str">
            <v>Fast Gourmet</v>
          </cell>
          <cell r="B1049" t="str">
            <v>Horeca Smart</v>
          </cell>
          <cell r="C1049" t="str">
            <v xml:space="preserve">عملاء كاش </v>
          </cell>
          <cell r="D1049" t="str">
            <v>Lames Magdy</v>
          </cell>
        </row>
        <row r="1050">
          <cell r="A1050" t="str">
            <v>Fast Gourmet, Fast Gourmet, 6 اكتوبر</v>
          </cell>
          <cell r="B1050" t="str">
            <v>Horeca Smart</v>
          </cell>
          <cell r="C1050" t="str">
            <v xml:space="preserve">عملاء كاش </v>
          </cell>
          <cell r="D1050" t="str">
            <v>Lames Magdy</v>
          </cell>
        </row>
        <row r="1051">
          <cell r="A1051" t="str">
            <v>Fast Gourmet, Fast Gourmet, المخزن</v>
          </cell>
          <cell r="B1051" t="str">
            <v>Horeca Smart</v>
          </cell>
          <cell r="C1051" t="str">
            <v xml:space="preserve">عملاء كاش </v>
          </cell>
          <cell r="D1051" t="str">
            <v>Naden Amgad</v>
          </cell>
        </row>
        <row r="1052">
          <cell r="A1052" t="str">
            <v>Fast Gourmet_المخزن</v>
          </cell>
          <cell r="B1052" t="str">
            <v>Horeca Smart</v>
          </cell>
          <cell r="C1052" t="str">
            <v xml:space="preserve">عملاء كاش </v>
          </cell>
          <cell r="D1052" t="str">
            <v>Naden Amgad</v>
          </cell>
        </row>
        <row r="1053">
          <cell r="A1053" t="str">
            <v>Femo’s Cafe</v>
          </cell>
          <cell r="B1053" t="str">
            <v>Horeca Smart</v>
          </cell>
          <cell r="C1053" t="str">
            <v xml:space="preserve">عملاء كاش </v>
          </cell>
          <cell r="D1053" t="str">
            <v>Mona Mohamed</v>
          </cell>
        </row>
        <row r="1054">
          <cell r="A1054" t="str">
            <v>Flare - فلير</v>
          </cell>
          <cell r="B1054" t="str">
            <v>Horeca Smart</v>
          </cell>
          <cell r="C1054" t="str">
            <v xml:space="preserve">عملاء كاش </v>
          </cell>
          <cell r="D1054" t="str">
            <v>Mona Mohamed</v>
          </cell>
        </row>
        <row r="1055">
          <cell r="A1055" t="str">
            <v>Fornello</v>
          </cell>
          <cell r="B1055" t="str">
            <v>Horeca Smart</v>
          </cell>
          <cell r="C1055" t="str">
            <v xml:space="preserve">عملاء كاش </v>
          </cell>
          <cell r="D1055" t="str">
            <v>Reham Maher</v>
          </cell>
        </row>
        <row r="1056">
          <cell r="A1056" t="str">
            <v>Four Beans Restaurant&amp;cafe</v>
          </cell>
          <cell r="B1056" t="str">
            <v>Horeca Smart</v>
          </cell>
          <cell r="C1056" t="str">
            <v xml:space="preserve">عملاء كاش </v>
          </cell>
          <cell r="D1056" t="str">
            <v>Mona Mohamed</v>
          </cell>
        </row>
        <row r="1057">
          <cell r="A1057" t="str">
            <v>Four Seasons Cafe</v>
          </cell>
          <cell r="B1057" t="str">
            <v>Horeca Smart</v>
          </cell>
          <cell r="C1057" t="str">
            <v xml:space="preserve">عملاء كاش </v>
          </cell>
          <cell r="D1057" t="str">
            <v>Reham Maher</v>
          </cell>
        </row>
        <row r="1058">
          <cell r="A1058" t="str">
            <v>Fresh Kit Restaurant</v>
          </cell>
          <cell r="B1058" t="str">
            <v>Horeca Smart</v>
          </cell>
          <cell r="C1058" t="str">
            <v xml:space="preserve">عملاء كاش </v>
          </cell>
          <cell r="D1058" t="str">
            <v>Naden Amgad</v>
          </cell>
        </row>
        <row r="1059">
          <cell r="A1059" t="str">
            <v>Fresh fruit</v>
          </cell>
          <cell r="B1059" t="str">
            <v>Horeca Smart</v>
          </cell>
          <cell r="C1059" t="str">
            <v xml:space="preserve">عملاء كاش </v>
          </cell>
          <cell r="D1059" t="str">
            <v>Reham Maher</v>
          </cell>
        </row>
        <row r="1060">
          <cell r="A1060" t="str">
            <v>GARDINEA CAFE</v>
          </cell>
          <cell r="B1060" t="str">
            <v>Horeca Smart</v>
          </cell>
          <cell r="C1060" t="str">
            <v xml:space="preserve">عملاء كاش </v>
          </cell>
          <cell r="D1060" t="str">
            <v>Reham Maher</v>
          </cell>
        </row>
        <row r="1061">
          <cell r="A1061" t="str">
            <v>GRab N Go Cafe</v>
          </cell>
          <cell r="B1061" t="str">
            <v>Horeca Smart</v>
          </cell>
          <cell r="C1061" t="str">
            <v xml:space="preserve">عملاء كاش </v>
          </cell>
          <cell r="D1061" t="str">
            <v>Lames Magdy</v>
          </cell>
        </row>
        <row r="1062">
          <cell r="A1062" t="str">
            <v>GSF Egypt</v>
          </cell>
          <cell r="B1062" t="str">
            <v>Horeca Smart</v>
          </cell>
          <cell r="C1062" t="str">
            <v>موردين كاش</v>
          </cell>
          <cell r="D1062" t="str">
            <v>Amgad Ahmed</v>
          </cell>
        </row>
        <row r="1063">
          <cell r="A1063" t="str">
            <v>Galal Cafe</v>
          </cell>
          <cell r="B1063" t="str">
            <v>Horeca Smart</v>
          </cell>
          <cell r="C1063" t="str">
            <v xml:space="preserve">عملاء كاش </v>
          </cell>
          <cell r="D1063" t="str">
            <v>Reham Maher</v>
          </cell>
        </row>
        <row r="1064">
          <cell r="A1064" t="str">
            <v>Garten</v>
          </cell>
          <cell r="B1064" t="str">
            <v>Horeca Smart</v>
          </cell>
          <cell r="C1064" t="str">
            <v xml:space="preserve">عملاء كاش </v>
          </cell>
          <cell r="D1064" t="str">
            <v>Mona Mohamed</v>
          </cell>
        </row>
        <row r="1065">
          <cell r="A1065" t="str">
            <v>Gatz</v>
          </cell>
          <cell r="B1065" t="str">
            <v>Horeca Smart</v>
          </cell>
          <cell r="C1065" t="str">
            <v xml:space="preserve">عملاء كاش </v>
          </cell>
          <cell r="D1065" t="str">
            <v>Mona Mohamed</v>
          </cell>
        </row>
        <row r="1066">
          <cell r="A1066" t="str">
            <v>Gazelle cafe</v>
          </cell>
          <cell r="B1066" t="str">
            <v>Horeca Smart</v>
          </cell>
          <cell r="C1066" t="str">
            <v xml:space="preserve">عملاء كاش </v>
          </cell>
          <cell r="D1066" t="str">
            <v>Lames Magdy</v>
          </cell>
        </row>
        <row r="1067">
          <cell r="A1067" t="str">
            <v>George Karam</v>
          </cell>
        </row>
        <row r="1068">
          <cell r="A1068" t="str">
            <v>Ghazal Restaurant</v>
          </cell>
          <cell r="B1068" t="str">
            <v>Horeca Smart</v>
          </cell>
          <cell r="C1068" t="str">
            <v xml:space="preserve">عملاء كاش </v>
          </cell>
          <cell r="D1068" t="str">
            <v>Mona Mohamed</v>
          </cell>
        </row>
        <row r="1069">
          <cell r="A1069" t="str">
            <v>Ghenwa Rafe&amp;Resturant</v>
          </cell>
          <cell r="B1069" t="str">
            <v>Horeca Smart</v>
          </cell>
          <cell r="C1069" t="str">
            <v xml:space="preserve">عملاء كاش </v>
          </cell>
          <cell r="D1069" t="str">
            <v>Mona Mohamed</v>
          </cell>
        </row>
        <row r="1070">
          <cell r="A1070" t="str">
            <v>Gido Burger</v>
          </cell>
          <cell r="B1070" t="str">
            <v>Horeca Smart</v>
          </cell>
          <cell r="C1070" t="str">
            <v xml:space="preserve">عملاء كاش </v>
          </cell>
          <cell r="D1070" t="str">
            <v>Mona Mohamed</v>
          </cell>
        </row>
        <row r="1071">
          <cell r="A1071" t="str">
            <v>Ginza Sushi, Ginza Sushi, التجمع</v>
          </cell>
          <cell r="B1071" t="str">
            <v>Horeca Smart</v>
          </cell>
          <cell r="C1071" t="str">
            <v xml:space="preserve">عملاء كاش </v>
          </cell>
          <cell r="D1071" t="str">
            <v>Naden Amgad</v>
          </cell>
        </row>
        <row r="1072">
          <cell r="A1072" t="str">
            <v>Ginza Sushi, Ginza Sushi, النزهة</v>
          </cell>
          <cell r="B1072" t="str">
            <v>Horeca Smart</v>
          </cell>
          <cell r="C1072" t="str">
            <v xml:space="preserve">عملاء كاش </v>
          </cell>
          <cell r="D1072" t="str">
            <v>Naden Amgad</v>
          </cell>
        </row>
        <row r="1073">
          <cell r="A1073" t="str">
            <v>Glitch cafe</v>
          </cell>
          <cell r="B1073" t="str">
            <v>Horeca Smart</v>
          </cell>
          <cell r="C1073" t="str">
            <v xml:space="preserve">عملاء كاش </v>
          </cell>
          <cell r="D1073" t="str">
            <v>Mona Mohamed</v>
          </cell>
        </row>
        <row r="1074">
          <cell r="A1074" t="str">
            <v>Goe Munchy</v>
          </cell>
          <cell r="B1074" t="str">
            <v>Horeca Smart</v>
          </cell>
          <cell r="C1074" t="str">
            <v xml:space="preserve">عملاء كاش </v>
          </cell>
          <cell r="D1074" t="str">
            <v>Donia Khaled</v>
          </cell>
        </row>
        <row r="1075">
          <cell r="A1075" t="str">
            <v>Gold Cafe</v>
          </cell>
          <cell r="B1075" t="str">
            <v>Horeca Smart</v>
          </cell>
          <cell r="C1075" t="str">
            <v xml:space="preserve">عملاء كاش </v>
          </cell>
          <cell r="D1075" t="str">
            <v>Reham Maher</v>
          </cell>
        </row>
        <row r="1076">
          <cell r="A1076" t="str">
            <v>Gold Cafe, Gold Cafe, Cafe&amp;Restaurant</v>
          </cell>
          <cell r="B1076" t="str">
            <v>Horeca Smart</v>
          </cell>
          <cell r="C1076" t="str">
            <v xml:space="preserve">عملاء كاش </v>
          </cell>
          <cell r="D1076" t="str">
            <v>Mona Mohamed</v>
          </cell>
        </row>
        <row r="1077">
          <cell r="A1077" t="str">
            <v>Gold Cafe, Gold Cafe, الحي العاشر</v>
          </cell>
          <cell r="B1077" t="str">
            <v>Horeca Smart</v>
          </cell>
          <cell r="C1077" t="str">
            <v xml:space="preserve">عملاء كاش </v>
          </cell>
          <cell r="D1077" t="str">
            <v>Reham Maher</v>
          </cell>
        </row>
        <row r="1078">
          <cell r="A1078" t="str">
            <v>Gold mart</v>
          </cell>
          <cell r="B1078" t="str">
            <v>Horeca Smart</v>
          </cell>
          <cell r="C1078" t="str">
            <v xml:space="preserve">عملاء كاش </v>
          </cell>
          <cell r="D1078" t="str">
            <v>Hager Ahmed</v>
          </cell>
        </row>
        <row r="1079">
          <cell r="A1079" t="str">
            <v>Golden Cafe</v>
          </cell>
          <cell r="B1079" t="str">
            <v>Horeca Smart</v>
          </cell>
          <cell r="C1079" t="str">
            <v xml:space="preserve">عملاء كاش </v>
          </cell>
          <cell r="D1079" t="str">
            <v>Reham Maher</v>
          </cell>
        </row>
        <row r="1080">
          <cell r="A1080" t="str">
            <v>Golden Cafe, Golden Cafe, الحي العاشر</v>
          </cell>
          <cell r="B1080" t="str">
            <v>Horeca Smart</v>
          </cell>
          <cell r="C1080" t="str">
            <v xml:space="preserve">عملاء كاش </v>
          </cell>
          <cell r="D1080" t="str">
            <v>Reham Maher</v>
          </cell>
        </row>
        <row r="1081">
          <cell r="A1081" t="str">
            <v>Golden Cafe, Golden Cafe, زهراء مدينة نصر</v>
          </cell>
          <cell r="B1081" t="str">
            <v>Horeca Smart</v>
          </cell>
          <cell r="C1081" t="str">
            <v xml:space="preserve">عملاء كاش </v>
          </cell>
          <cell r="D1081" t="str">
            <v>Reham Maher</v>
          </cell>
        </row>
        <row r="1082">
          <cell r="A1082" t="str">
            <v>Golden Sweet</v>
          </cell>
          <cell r="B1082" t="str">
            <v>Horeca Smart</v>
          </cell>
          <cell r="C1082" t="str">
            <v xml:space="preserve">عملاء كاش </v>
          </cell>
          <cell r="D1082" t="str">
            <v>Reham Maher</v>
          </cell>
        </row>
        <row r="1083">
          <cell r="A1083" t="str">
            <v>Golden cup</v>
          </cell>
          <cell r="B1083" t="str">
            <v>Horeca Smart</v>
          </cell>
          <cell r="C1083" t="str">
            <v xml:space="preserve">عملاء كاش </v>
          </cell>
          <cell r="D1083" t="str">
            <v>Naden Amgad</v>
          </cell>
        </row>
        <row r="1084">
          <cell r="A1084" t="str">
            <v>Goovy Restaurant</v>
          </cell>
          <cell r="B1084" t="str">
            <v>Horeca Smart</v>
          </cell>
          <cell r="C1084" t="str">
            <v xml:space="preserve">عملاء كاش </v>
          </cell>
          <cell r="D1084" t="str">
            <v>Reham Maher</v>
          </cell>
        </row>
        <row r="1085">
          <cell r="A1085" t="str">
            <v>Greeks Cafe</v>
          </cell>
          <cell r="B1085" t="str">
            <v>Horeca Smart</v>
          </cell>
          <cell r="C1085" t="str">
            <v xml:space="preserve">عملاء كاش </v>
          </cell>
          <cell r="D1085" t="str">
            <v>Naden Amgad</v>
          </cell>
        </row>
        <row r="1086">
          <cell r="A1086" t="str">
            <v>Green Power</v>
          </cell>
          <cell r="B1086" t="str">
            <v>Horeca Smart</v>
          </cell>
          <cell r="C1086" t="str">
            <v xml:space="preserve">عملاء كاش </v>
          </cell>
          <cell r="D1086" t="str">
            <v>Donia Khaled</v>
          </cell>
        </row>
        <row r="1087">
          <cell r="A1087" t="str">
            <v>Groovy Station Cafe</v>
          </cell>
          <cell r="B1087" t="str">
            <v>Horeca Smart</v>
          </cell>
          <cell r="C1087" t="str">
            <v xml:space="preserve">عملاء كاش </v>
          </cell>
          <cell r="D1087" t="str">
            <v>Reham Maher</v>
          </cell>
        </row>
        <row r="1088">
          <cell r="A1088" t="str">
            <v>Gyoza</v>
          </cell>
          <cell r="B1088" t="str">
            <v>Horeca Smart</v>
          </cell>
          <cell r="C1088" t="str">
            <v xml:space="preserve">عملاء كاش </v>
          </cell>
          <cell r="D1088" t="str">
            <v>Mona Mohamed</v>
          </cell>
        </row>
        <row r="1089">
          <cell r="A1089" t="str">
            <v>HASSAN IBRAHIM</v>
          </cell>
          <cell r="C1089" t="str">
            <v>موظفين</v>
          </cell>
        </row>
        <row r="1090">
          <cell r="A1090" t="str">
            <v>HESHAM MOHAMED</v>
          </cell>
          <cell r="C1090" t="str">
            <v>موظفين</v>
          </cell>
        </row>
        <row r="1091">
          <cell r="A1091" t="str">
            <v>HUG MUG</v>
          </cell>
          <cell r="B1091" t="str">
            <v>Horeca Smart</v>
          </cell>
          <cell r="C1091" t="str">
            <v xml:space="preserve">عملاء كاش </v>
          </cell>
          <cell r="D1091" t="str">
            <v>Mona Mohamed</v>
          </cell>
        </row>
        <row r="1092">
          <cell r="A1092" t="str">
            <v>Haddil Haron</v>
          </cell>
          <cell r="C1092" t="str">
            <v>موظفين</v>
          </cell>
        </row>
        <row r="1093">
          <cell r="A1093" t="str">
            <v>Hadeer Sobhy</v>
          </cell>
          <cell r="C1093" t="str">
            <v>موظفين</v>
          </cell>
        </row>
        <row r="1094">
          <cell r="A1094" t="str">
            <v>Hadeer Sobhy</v>
          </cell>
          <cell r="C1094" t="str">
            <v>موظفين</v>
          </cell>
        </row>
        <row r="1095">
          <cell r="A1095" t="str">
            <v>Hadramawt Antar Restaurant</v>
          </cell>
          <cell r="B1095" t="str">
            <v>Horeca Smart</v>
          </cell>
          <cell r="C1095" t="str">
            <v xml:space="preserve">عملاء كاش </v>
          </cell>
          <cell r="D1095" t="str">
            <v>Lames Magdy</v>
          </cell>
        </row>
        <row r="1096">
          <cell r="A1096" t="str">
            <v>Hagar Ahmed</v>
          </cell>
          <cell r="C1096" t="str">
            <v>موظفين</v>
          </cell>
        </row>
        <row r="1097">
          <cell r="A1097" t="str">
            <v>Hager Ahmed</v>
          </cell>
          <cell r="C1097" t="str">
            <v>موظفين</v>
          </cell>
        </row>
        <row r="1098">
          <cell r="A1098" t="str">
            <v>Hammad Bakery</v>
          </cell>
          <cell r="B1098" t="str">
            <v>Horeca Smart</v>
          </cell>
          <cell r="C1098" t="str">
            <v xml:space="preserve">عملاء كاش </v>
          </cell>
          <cell r="D1098" t="str">
            <v>Mona Mohamed</v>
          </cell>
        </row>
        <row r="1099">
          <cell r="A1099" t="str">
            <v>Hany</v>
          </cell>
          <cell r="C1099" t="str">
            <v>موظفين</v>
          </cell>
        </row>
        <row r="1100">
          <cell r="A1100" t="str">
            <v>Happy Restaurant</v>
          </cell>
          <cell r="B1100" t="str">
            <v>Horeca Smart</v>
          </cell>
          <cell r="C1100" t="str">
            <v xml:space="preserve">عملاء كاش </v>
          </cell>
          <cell r="D1100" t="str">
            <v>Reham Maher</v>
          </cell>
        </row>
        <row r="1101">
          <cell r="A1101" t="str">
            <v>Harry's Hut</v>
          </cell>
          <cell r="B1101" t="str">
            <v>Horeca Smart</v>
          </cell>
          <cell r="C1101" t="str">
            <v xml:space="preserve">عملاء كاش </v>
          </cell>
          <cell r="D1101" t="str">
            <v>Mona Mohamed</v>
          </cell>
        </row>
        <row r="1102">
          <cell r="A1102" t="str">
            <v>Hashtag Cafe&amp;Restaurant</v>
          </cell>
          <cell r="B1102" t="str">
            <v>Horeca Smart</v>
          </cell>
          <cell r="C1102" t="str">
            <v xml:space="preserve">عملاء كاش </v>
          </cell>
          <cell r="D1102" t="str">
            <v>Mona Mohamed</v>
          </cell>
        </row>
        <row r="1103">
          <cell r="A1103" t="str">
            <v>Hassan Ibrahim Salah Elsheikh</v>
          </cell>
          <cell r="C1103" t="str">
            <v>موظفين</v>
          </cell>
        </row>
        <row r="1104">
          <cell r="A1104" t="str">
            <v>Hawaa cafe</v>
          </cell>
          <cell r="B1104" t="str">
            <v>Horeca Smart</v>
          </cell>
          <cell r="C1104" t="str">
            <v xml:space="preserve">عملاء كاش </v>
          </cell>
          <cell r="D1104" t="str">
            <v>Reham Maher</v>
          </cell>
        </row>
        <row r="1105">
          <cell r="A1105" t="str">
            <v>Hayah Cafe</v>
          </cell>
          <cell r="B1105" t="str">
            <v>Horeca Smart</v>
          </cell>
          <cell r="C1105" t="str">
            <v xml:space="preserve">عملاء كاش </v>
          </cell>
          <cell r="D1105" t="str">
            <v>Reham Maher</v>
          </cell>
        </row>
        <row r="1106">
          <cell r="A1106" t="str">
            <v>Herba Pharm Company</v>
          </cell>
          <cell r="B1106" t="str">
            <v>Horeca Smart</v>
          </cell>
          <cell r="D1106" t="str">
            <v>Naden Amgad</v>
          </cell>
        </row>
        <row r="1107">
          <cell r="A1107" t="str">
            <v>Herba Pharm Company, Herba Pharm Company</v>
          </cell>
          <cell r="B1107" t="str">
            <v>Horeca Smart</v>
          </cell>
          <cell r="C1107" t="str">
            <v xml:space="preserve">عملاء كاش </v>
          </cell>
          <cell r="D1107" t="str">
            <v>Naden Amgad</v>
          </cell>
        </row>
        <row r="1108">
          <cell r="A1108" t="str">
            <v>Herba Pharm Company, Herba Pharm Company</v>
          </cell>
          <cell r="B1108" t="str">
            <v>Horeca Smart</v>
          </cell>
          <cell r="C1108" t="str">
            <v xml:space="preserve">عملاء كاش </v>
          </cell>
          <cell r="D1108" t="str">
            <v>Naden Amgad</v>
          </cell>
        </row>
        <row r="1109">
          <cell r="A1109" t="str">
            <v>Hilton Plaza</v>
          </cell>
          <cell r="B1109" t="str">
            <v>Horeca Smart</v>
          </cell>
          <cell r="C1109" t="str">
            <v xml:space="preserve">عملاء كاش </v>
          </cell>
          <cell r="D1109" t="str">
            <v>Mona Mohamed</v>
          </cell>
        </row>
        <row r="1110">
          <cell r="A1110" t="str">
            <v>Hilton cafe</v>
          </cell>
          <cell r="B1110" t="str">
            <v>Horeca Smart</v>
          </cell>
          <cell r="C1110" t="str">
            <v xml:space="preserve">عملاء كاش </v>
          </cell>
          <cell r="D1110" t="str">
            <v>Lames Magdy</v>
          </cell>
        </row>
        <row r="1111">
          <cell r="A1111" t="str">
            <v>Hisham</v>
          </cell>
        </row>
        <row r="1112">
          <cell r="A1112" t="str">
            <v>Hossam</v>
          </cell>
        </row>
        <row r="1113">
          <cell r="A1113" t="str">
            <v>House Of Toasts</v>
          </cell>
          <cell r="B1113" t="str">
            <v>Horeca Smart</v>
          </cell>
          <cell r="C1113" t="str">
            <v xml:space="preserve">عملاء كاش </v>
          </cell>
          <cell r="D1113" t="str">
            <v>Mona Mohamed</v>
          </cell>
        </row>
        <row r="1114">
          <cell r="A1114" t="str">
            <v>House of coco</v>
          </cell>
          <cell r="B1114" t="str">
            <v>Horeca Smart</v>
          </cell>
          <cell r="C1114" t="str">
            <v xml:space="preserve">عملاء كاش </v>
          </cell>
          <cell r="D1114" t="str">
            <v>Mona Mohamed</v>
          </cell>
        </row>
        <row r="1115">
          <cell r="A1115" t="str">
            <v>Hub Burger</v>
          </cell>
          <cell r="B1115" t="str">
            <v>Horeca Smart</v>
          </cell>
          <cell r="C1115" t="str">
            <v xml:space="preserve">عملاء كاش </v>
          </cell>
          <cell r="D1115" t="str">
            <v>Mona Mohamed</v>
          </cell>
        </row>
        <row r="1116">
          <cell r="A1116" t="str">
            <v>Hussein Ahmed</v>
          </cell>
          <cell r="C1116" t="str">
            <v>موظفين</v>
          </cell>
        </row>
        <row r="1117">
          <cell r="A1117" t="str">
            <v>Hussein Mohamed</v>
          </cell>
          <cell r="C1117" t="str">
            <v>موظفين</v>
          </cell>
        </row>
        <row r="1118">
          <cell r="A1118" t="str">
            <v>Hwa Hwan</v>
          </cell>
          <cell r="B1118" t="str">
            <v>Horeca Smart</v>
          </cell>
          <cell r="C1118" t="str">
            <v xml:space="preserve">عملاء كاش </v>
          </cell>
          <cell r="D1118" t="str">
            <v>Reham Maher</v>
          </cell>
        </row>
        <row r="1119">
          <cell r="A1119" t="str">
            <v>Hحمد توفيق</v>
          </cell>
        </row>
        <row r="1120">
          <cell r="A1120" t="str">
            <v>I fruit</v>
          </cell>
          <cell r="B1120" t="str">
            <v>Horeca Smart</v>
          </cell>
          <cell r="C1120" t="str">
            <v xml:space="preserve">عملاء كاش </v>
          </cell>
          <cell r="D1120" t="str">
            <v>Reham Maher</v>
          </cell>
        </row>
        <row r="1121">
          <cell r="A1121" t="str">
            <v>IMAM MAMGOH ABD-ALLAH</v>
          </cell>
          <cell r="C1121" t="str">
            <v>موظفين</v>
          </cell>
        </row>
        <row r="1122">
          <cell r="A1122" t="str">
            <v>ISLAM OSAMA</v>
          </cell>
          <cell r="C1122" t="str">
            <v>موظفين</v>
          </cell>
        </row>
        <row r="1123">
          <cell r="A1123" t="str">
            <v>Ibrahim Hosny</v>
          </cell>
          <cell r="C1123" t="str">
            <v>موظفين</v>
          </cell>
        </row>
        <row r="1124">
          <cell r="A1124" t="str">
            <v>Ibrahim el kelany</v>
          </cell>
        </row>
        <row r="1125">
          <cell r="A1125" t="str">
            <v>Ibrahim gomaa</v>
          </cell>
        </row>
        <row r="1126">
          <cell r="A1126" t="str">
            <v>Ika sushi</v>
          </cell>
          <cell r="B1126" t="str">
            <v>Horeca Smart</v>
          </cell>
          <cell r="C1126" t="str">
            <v xml:space="preserve">عملاء كاش </v>
          </cell>
          <cell r="D1126" t="str">
            <v>Mona Mohamed</v>
          </cell>
        </row>
        <row r="1127">
          <cell r="A1127" t="str">
            <v>Indian Zaika Restaurant</v>
          </cell>
          <cell r="B1127" t="str">
            <v>Horeca Smart</v>
          </cell>
          <cell r="C1127" t="str">
            <v xml:space="preserve">عملاء كاش </v>
          </cell>
          <cell r="D1127" t="str">
            <v>Mona Mohamed</v>
          </cell>
        </row>
        <row r="1128">
          <cell r="A1128" t="str">
            <v>Infinie foodtiv</v>
          </cell>
          <cell r="B1128" t="str">
            <v>Horeca Smart</v>
          </cell>
          <cell r="C1128" t="str">
            <v xml:space="preserve">عملاء كاش </v>
          </cell>
          <cell r="D1128" t="str">
            <v>Naden Amgad</v>
          </cell>
        </row>
        <row r="1129">
          <cell r="A1129" t="str">
            <v>Integrated Food</v>
          </cell>
          <cell r="B1129" t="str">
            <v>Horeca Smart</v>
          </cell>
          <cell r="C1129" t="str">
            <v xml:space="preserve">عملاء كاش </v>
          </cell>
          <cell r="D1129" t="str">
            <v>Shorouk khaled</v>
          </cell>
        </row>
        <row r="1130">
          <cell r="A1130" t="str">
            <v>Isabelle sushi, Isabelle sushi, Isabelle sushi -التجمع</v>
          </cell>
          <cell r="C1130" t="str">
            <v xml:space="preserve">عملاء كاش </v>
          </cell>
          <cell r="D1130" t="str">
            <v>Mona Mohamed</v>
          </cell>
        </row>
        <row r="1131">
          <cell r="A1131" t="str">
            <v>Isabelle sushi, Isabelle sushi, Isabelle sushi -مصر الجديدة</v>
          </cell>
          <cell r="C1131" t="str">
            <v xml:space="preserve">عملاء كاش </v>
          </cell>
          <cell r="D1131" t="str">
            <v>Mona Mohamed</v>
          </cell>
        </row>
        <row r="1132">
          <cell r="A1132" t="str">
            <v>Isabelle sushi, Isabelle sushi, اولي سوشي</v>
          </cell>
          <cell r="C1132" t="str">
            <v xml:space="preserve">عملاء كاش </v>
          </cell>
          <cell r="D1132" t="str">
            <v>Mona Mohamed</v>
          </cell>
        </row>
        <row r="1133">
          <cell r="A1133" t="str">
            <v>Islam _هدير</v>
          </cell>
        </row>
        <row r="1134">
          <cell r="A1134" t="str">
            <v>Island tea &amp; coffe</v>
          </cell>
          <cell r="B1134" t="str">
            <v>Horeca Smart</v>
          </cell>
          <cell r="C1134" t="str">
            <v xml:space="preserve">عملاء كاش </v>
          </cell>
          <cell r="D1134" t="str">
            <v>Mona Mohamed</v>
          </cell>
        </row>
        <row r="1135">
          <cell r="A1135" t="str">
            <v>Isola Cafe</v>
          </cell>
          <cell r="B1135" t="str">
            <v>Horeca Smart</v>
          </cell>
          <cell r="C1135" t="str">
            <v xml:space="preserve">عملاء كاش </v>
          </cell>
          <cell r="D1135" t="str">
            <v>Reham Maher</v>
          </cell>
        </row>
        <row r="1136">
          <cell r="A1136" t="str">
            <v>Istredia&amp;reef cafe</v>
          </cell>
          <cell r="B1136" t="str">
            <v>Horeca Smart</v>
          </cell>
          <cell r="C1136" t="str">
            <v xml:space="preserve">عملاء كاش </v>
          </cell>
          <cell r="D1136" t="str">
            <v>Reham Maher</v>
          </cell>
        </row>
        <row r="1137">
          <cell r="A1137" t="str">
            <v>Itelucci Restaurant</v>
          </cell>
          <cell r="B1137" t="str">
            <v>Horeca Smart</v>
          </cell>
          <cell r="C1137" t="str">
            <v xml:space="preserve">عملاء كاش </v>
          </cell>
          <cell r="D1137" t="str">
            <v>Mona Mohamed</v>
          </cell>
        </row>
        <row r="1138">
          <cell r="A1138" t="str">
            <v>Ivory Coffee, Ivory Coffee, التجمع</v>
          </cell>
          <cell r="B1138" t="str">
            <v>Horeca Smart</v>
          </cell>
          <cell r="C1138" t="str">
            <v xml:space="preserve">عملاء كاش </v>
          </cell>
          <cell r="D1138" t="str">
            <v>Mona Mohamed</v>
          </cell>
        </row>
        <row r="1139">
          <cell r="A1139" t="str">
            <v>Ivory Coffee, Ivory Coffee, العاصمة الإدراية</v>
          </cell>
          <cell r="B1139" t="str">
            <v>Horeca Smart</v>
          </cell>
          <cell r="C1139" t="str">
            <v xml:space="preserve">عملاء كاش </v>
          </cell>
          <cell r="D1139" t="str">
            <v>Mona Mohamed</v>
          </cell>
        </row>
        <row r="1140">
          <cell r="A1140" t="str">
            <v>Ivory Coffee, Ivory Coffee, المخزن</v>
          </cell>
          <cell r="B1140" t="str">
            <v>Horeca Smart</v>
          </cell>
          <cell r="C1140" t="str">
            <v xml:space="preserve">عملاء كاش </v>
          </cell>
          <cell r="D1140" t="str">
            <v>Mona Mohamed</v>
          </cell>
        </row>
        <row r="1141">
          <cell r="A1141" t="str">
            <v>Ivory Coffee, Ivory Coffee, المقطم</v>
          </cell>
          <cell r="B1141" t="str">
            <v>Horeca Smart</v>
          </cell>
          <cell r="C1141" t="str">
            <v xml:space="preserve">عملاء كاش </v>
          </cell>
          <cell r="D1141" t="str">
            <v>Mona Mohamed</v>
          </cell>
        </row>
        <row r="1142">
          <cell r="A1142" t="str">
            <v>Ivory Coffee, Ivory Coffee, دار الصحة</v>
          </cell>
          <cell r="B1142" t="str">
            <v>Horeca Smart</v>
          </cell>
          <cell r="C1142" t="str">
            <v xml:space="preserve">عملاء كاش </v>
          </cell>
          <cell r="D1142" t="str">
            <v>Naden Amgad</v>
          </cell>
        </row>
        <row r="1143">
          <cell r="A1143" t="str">
            <v>J.J</v>
          </cell>
          <cell r="B1143" t="str">
            <v>Horeca Smart</v>
          </cell>
          <cell r="C1143" t="str">
            <v xml:space="preserve">عملاء كاش </v>
          </cell>
          <cell r="D1143" t="str">
            <v>Reham Maher</v>
          </cell>
        </row>
        <row r="1144">
          <cell r="A1144" t="str">
            <v>Jack's Burger</v>
          </cell>
          <cell r="B1144" t="str">
            <v>Horeca Smart</v>
          </cell>
          <cell r="C1144" t="str">
            <v xml:space="preserve">عملاء كاش </v>
          </cell>
          <cell r="D1144" t="str">
            <v>Mona Mohamed</v>
          </cell>
        </row>
        <row r="1145">
          <cell r="A1145" t="str">
            <v>Jaguar</v>
          </cell>
          <cell r="B1145" t="str">
            <v>Horeca Smart</v>
          </cell>
          <cell r="C1145" t="str">
            <v xml:space="preserve">عملاء كاش </v>
          </cell>
          <cell r="D1145" t="str">
            <v>Reham Maher</v>
          </cell>
        </row>
        <row r="1146">
          <cell r="A1146" t="str">
            <v>Jared's Bagels &amp; Micah's Grill</v>
          </cell>
          <cell r="B1146" t="str">
            <v>Horeca Smart</v>
          </cell>
          <cell r="C1146" t="str">
            <v xml:space="preserve">عملاء كاش </v>
          </cell>
          <cell r="D1146" t="str">
            <v>Mona Mohamed</v>
          </cell>
        </row>
        <row r="1147">
          <cell r="A1147" t="str">
            <v>Jim Bates Cafe</v>
          </cell>
          <cell r="B1147" t="str">
            <v>Horeca Smart</v>
          </cell>
          <cell r="C1147" t="str">
            <v xml:space="preserve">عملاء كاش </v>
          </cell>
          <cell r="D1147" t="str">
            <v>Reham Maher</v>
          </cell>
        </row>
        <row r="1148">
          <cell r="A1148" t="str">
            <v>Jimmy’s</v>
          </cell>
          <cell r="B1148" t="str">
            <v>Horeca Smart</v>
          </cell>
          <cell r="C1148" t="str">
            <v xml:space="preserve">عملاء كاش </v>
          </cell>
          <cell r="D1148" t="str">
            <v>Mona Mohamed</v>
          </cell>
        </row>
        <row r="1149">
          <cell r="A1149" t="str">
            <v>Joker Cafe</v>
          </cell>
          <cell r="B1149" t="str">
            <v>Horeca Smart</v>
          </cell>
          <cell r="C1149" t="str">
            <v xml:space="preserve">عملاء كاش </v>
          </cell>
          <cell r="D1149" t="str">
            <v>Mona Mohamed</v>
          </cell>
        </row>
        <row r="1150">
          <cell r="A1150" t="str">
            <v>Joo Cafe&amp;Restaurant</v>
          </cell>
          <cell r="B1150" t="str">
            <v>Horeca Smart</v>
          </cell>
          <cell r="C1150" t="str">
            <v xml:space="preserve">عملاء كاش </v>
          </cell>
          <cell r="D1150" t="str">
            <v>Mona Mohamed</v>
          </cell>
        </row>
        <row r="1151">
          <cell r="A1151" t="str">
            <v>Juego playstation</v>
          </cell>
          <cell r="B1151" t="str">
            <v>Horeca Smart</v>
          </cell>
          <cell r="C1151" t="str">
            <v xml:space="preserve">عملاء كاش </v>
          </cell>
          <cell r="D1151" t="str">
            <v>Mona Mohamed</v>
          </cell>
        </row>
        <row r="1152">
          <cell r="A1152" t="str">
            <v>Juhayna</v>
          </cell>
          <cell r="B1152" t="str">
            <v>MAS</v>
          </cell>
          <cell r="C1152" t="str">
            <v xml:space="preserve">موردين اجل </v>
          </cell>
          <cell r="D1152" t="str">
            <v>Amgad Ahmed</v>
          </cell>
        </row>
        <row r="1153">
          <cell r="A1153" t="str">
            <v>Juice shop</v>
          </cell>
          <cell r="B1153" t="str">
            <v>Horeca Smart</v>
          </cell>
          <cell r="C1153" t="str">
            <v xml:space="preserve">عملاء كاش </v>
          </cell>
          <cell r="D1153" t="str">
            <v>Reham Maher</v>
          </cell>
        </row>
        <row r="1154">
          <cell r="A1154" t="str">
            <v>Julis Cafe&amp;Restaurant</v>
          </cell>
          <cell r="B1154" t="str">
            <v>Horeca Smart</v>
          </cell>
          <cell r="C1154" t="str">
            <v xml:space="preserve">عملاء كاش </v>
          </cell>
          <cell r="D1154" t="str">
            <v>Mona Mohamed</v>
          </cell>
        </row>
        <row r="1155">
          <cell r="A1155" t="str">
            <v>Jurrasic Burger</v>
          </cell>
          <cell r="B1155" t="str">
            <v>Horeca Smart</v>
          </cell>
          <cell r="C1155" t="str">
            <v xml:space="preserve">عملاء كاش </v>
          </cell>
          <cell r="D1155" t="str">
            <v>Reham Maher</v>
          </cell>
        </row>
        <row r="1156">
          <cell r="A1156" t="str">
            <v>Just pasta</v>
          </cell>
          <cell r="B1156" t="str">
            <v>Horeca Smart</v>
          </cell>
          <cell r="C1156" t="str">
            <v xml:space="preserve">عملاء كاش </v>
          </cell>
          <cell r="D1156" t="str">
            <v>Reham Maher</v>
          </cell>
        </row>
        <row r="1157">
          <cell r="A1157" t="str">
            <v>Just pasta, Just pasta, مخزن</v>
          </cell>
          <cell r="B1157" t="str">
            <v>Horeca Smart</v>
          </cell>
          <cell r="C1157" t="str">
            <v xml:space="preserve">عملاء كاش </v>
          </cell>
          <cell r="D1157" t="str">
            <v>Reham Maher</v>
          </cell>
        </row>
        <row r="1158">
          <cell r="A1158" t="str">
            <v>Just pasta, Just pasta, مكرم عبيد</v>
          </cell>
          <cell r="B1158" t="str">
            <v>Horeca Smart</v>
          </cell>
          <cell r="C1158" t="str">
            <v xml:space="preserve">عملاء كاش </v>
          </cell>
          <cell r="D1158" t="str">
            <v>Reham Maher</v>
          </cell>
        </row>
        <row r="1159">
          <cell r="A1159" t="str">
            <v>KAFE !N, KAFE !N, حلوان</v>
          </cell>
          <cell r="B1159" t="str">
            <v>Horeca Smart</v>
          </cell>
          <cell r="C1159" t="str">
            <v xml:space="preserve">عملاء كاش </v>
          </cell>
          <cell r="D1159" t="str">
            <v>Lames Magdy</v>
          </cell>
        </row>
        <row r="1160">
          <cell r="A1160" t="str">
            <v>KAFE !N, KAFE !N, مصر الجديدة</v>
          </cell>
          <cell r="B1160" t="str">
            <v>Horeca Smart</v>
          </cell>
          <cell r="C1160" t="str">
            <v xml:space="preserve">عملاء كاش </v>
          </cell>
          <cell r="D1160" t="str">
            <v>Lames Magdy</v>
          </cell>
        </row>
        <row r="1161">
          <cell r="A1161" t="str">
            <v>KALDI'S Cafe</v>
          </cell>
          <cell r="B1161" t="str">
            <v>Horeca Smart</v>
          </cell>
          <cell r="C1161" t="str">
            <v xml:space="preserve">عملاء كاش </v>
          </cell>
          <cell r="D1161" t="str">
            <v>Mona Mohamed</v>
          </cell>
        </row>
        <row r="1162">
          <cell r="A1162" t="str">
            <v>KANA Cafe&amp;Restaurant, KANA Cafe&amp;Restaurant, المخزن</v>
          </cell>
          <cell r="B1162" t="str">
            <v>Horeca Smart</v>
          </cell>
          <cell r="C1162" t="str">
            <v>متجمد</v>
          </cell>
          <cell r="D1162" t="str">
            <v>Reham Maher</v>
          </cell>
        </row>
        <row r="1163">
          <cell r="A1163" t="str">
            <v>KANA Cafe&amp;Restaurant, KANA Cafe&amp;Restaurant, مدينة نصر</v>
          </cell>
          <cell r="B1163" t="str">
            <v>Horeca Smart</v>
          </cell>
          <cell r="C1163" t="str">
            <v xml:space="preserve">عملاء كاش </v>
          </cell>
          <cell r="D1163" t="str">
            <v>Reham Maher</v>
          </cell>
        </row>
        <row r="1164">
          <cell r="A1164" t="str">
            <v>KAVA CAFE</v>
          </cell>
          <cell r="B1164" t="str">
            <v>Horeca Smart</v>
          </cell>
          <cell r="C1164" t="str">
            <v xml:space="preserve">عملاء كاش </v>
          </cell>
          <cell r="D1164" t="str">
            <v>Reham Maher</v>
          </cell>
        </row>
        <row r="1165">
          <cell r="A1165" t="str">
            <v>KAk Squad</v>
          </cell>
          <cell r="B1165" t="str">
            <v>Horeca Smart</v>
          </cell>
          <cell r="C1165" t="str">
            <v xml:space="preserve">عملاء كاش </v>
          </cell>
          <cell r="D1165" t="str">
            <v>Mona Mohamed</v>
          </cell>
        </row>
        <row r="1166">
          <cell r="A1166" t="str">
            <v>KICK in</v>
          </cell>
          <cell r="B1166" t="str">
            <v>Horeca Smart</v>
          </cell>
          <cell r="C1166" t="str">
            <v xml:space="preserve">عملاء كاش </v>
          </cell>
          <cell r="D1166" t="str">
            <v>Reham Maher</v>
          </cell>
        </row>
        <row r="1167">
          <cell r="A1167" t="str">
            <v>KMT house (ارضنا )</v>
          </cell>
          <cell r="B1167" t="str">
            <v>Horeca Smart</v>
          </cell>
          <cell r="C1167" t="str">
            <v xml:space="preserve">عملاء كاش </v>
          </cell>
          <cell r="D1167" t="str">
            <v>Donia Khaled</v>
          </cell>
        </row>
        <row r="1168">
          <cell r="A1168" t="str">
            <v>Kahva</v>
          </cell>
          <cell r="B1168" t="str">
            <v>Horeca Smart</v>
          </cell>
          <cell r="C1168" t="str">
            <v xml:space="preserve">عملاء كاش </v>
          </cell>
          <cell r="D1168" t="str">
            <v>Mona Mohamed</v>
          </cell>
        </row>
        <row r="1169">
          <cell r="A1169" t="str">
            <v>Kaki</v>
          </cell>
          <cell r="B1169" t="str">
            <v>Horeca Smart</v>
          </cell>
          <cell r="C1169" t="str">
            <v xml:space="preserve">عملاء كاش </v>
          </cell>
          <cell r="D1169" t="str">
            <v>Reham Maher</v>
          </cell>
        </row>
        <row r="1170">
          <cell r="A1170" t="str">
            <v>Karak Tap</v>
          </cell>
          <cell r="B1170" t="str">
            <v>Horeca Smart</v>
          </cell>
          <cell r="C1170" t="str">
            <v xml:space="preserve">عملاء كاش </v>
          </cell>
          <cell r="D1170" t="str">
            <v>Mona Mohamed</v>
          </cell>
        </row>
        <row r="1171">
          <cell r="A1171" t="str">
            <v>Kareem Ali</v>
          </cell>
          <cell r="C1171" t="str">
            <v>موظفين</v>
          </cell>
          <cell r="D1171" t="str">
            <v>Abdullah Mahmoud</v>
          </cell>
        </row>
        <row r="1172">
          <cell r="A1172" t="str">
            <v>Karim Saeed</v>
          </cell>
        </row>
        <row r="1173">
          <cell r="A1173" t="str">
            <v>Karma</v>
          </cell>
          <cell r="B1173" t="str">
            <v>Horeca Smart</v>
          </cell>
          <cell r="C1173" t="str">
            <v xml:space="preserve">عملاء كاش </v>
          </cell>
          <cell r="D1173" t="str">
            <v>Mona Mohamed</v>
          </cell>
        </row>
        <row r="1174">
          <cell r="A1174" t="str">
            <v>Karmasha Fried Chicken</v>
          </cell>
          <cell r="B1174" t="str">
            <v>Horeca Smart</v>
          </cell>
          <cell r="C1174" t="str">
            <v xml:space="preserve">عملاء كاش </v>
          </cell>
          <cell r="D1174" t="str">
            <v>Reham Maher</v>
          </cell>
        </row>
        <row r="1175">
          <cell r="A1175" t="str">
            <v>Karmasha Fried Chicken, Karmasha Fried Chicken, مدينة نصر</v>
          </cell>
          <cell r="B1175" t="str">
            <v>Horeca Smart</v>
          </cell>
          <cell r="C1175" t="str">
            <v xml:space="preserve">عملاء كاش </v>
          </cell>
          <cell r="D1175" t="str">
            <v>Reham Maher</v>
          </cell>
        </row>
        <row r="1176">
          <cell r="A1176" t="str">
            <v>Karmasha Fried Chicken, Karmasha Fried Chicken, مدينتي</v>
          </cell>
          <cell r="B1176" t="str">
            <v>Horeca Smart</v>
          </cell>
          <cell r="C1176" t="str">
            <v xml:space="preserve">عملاء كاش </v>
          </cell>
          <cell r="D1176" t="str">
            <v>Mona Mohamed</v>
          </cell>
        </row>
        <row r="1177">
          <cell r="A1177" t="str">
            <v>Kaya Restobar</v>
          </cell>
          <cell r="B1177" t="str">
            <v>Horeca Smart</v>
          </cell>
          <cell r="C1177" t="str">
            <v xml:space="preserve">عملاء كاش </v>
          </cell>
          <cell r="D1177" t="str">
            <v>Reham Maher</v>
          </cell>
        </row>
        <row r="1178">
          <cell r="A1178" t="str">
            <v>Kazan cafe</v>
          </cell>
          <cell r="B1178" t="str">
            <v>Horeca Smart</v>
          </cell>
          <cell r="C1178" t="str">
            <v xml:space="preserve">عملاء كاش </v>
          </cell>
          <cell r="D1178" t="str">
            <v>Reham Maher</v>
          </cell>
        </row>
        <row r="1179">
          <cell r="A1179" t="str">
            <v>Kazlak</v>
          </cell>
          <cell r="B1179" t="str">
            <v>Horeca Smart</v>
          </cell>
          <cell r="C1179" t="str">
            <v xml:space="preserve">عملاء كاش </v>
          </cell>
          <cell r="D1179" t="str">
            <v>Mona Mohamed</v>
          </cell>
        </row>
        <row r="1180">
          <cell r="A1180" t="str">
            <v>Keto cloud kitchen - مروة حسن</v>
          </cell>
          <cell r="B1180" t="str">
            <v>Horeca Smart</v>
          </cell>
          <cell r="C1180" t="str">
            <v xml:space="preserve">عملاء كاش </v>
          </cell>
          <cell r="D1180" t="str">
            <v>Reham Maher</v>
          </cell>
        </row>
        <row r="1181">
          <cell r="A1181" t="str">
            <v>Khaled Assem</v>
          </cell>
          <cell r="C1181" t="str">
            <v>موظفين</v>
          </cell>
          <cell r="D1181" t="str">
            <v>Khaled Assem</v>
          </cell>
        </row>
        <row r="1182">
          <cell r="A1182" t="str">
            <v>Khf for catering Supplies</v>
          </cell>
          <cell r="B1182" t="str">
            <v>Horeca Smart</v>
          </cell>
          <cell r="C1182" t="str">
            <v xml:space="preserve">عملاء كاش </v>
          </cell>
          <cell r="D1182" t="str">
            <v>Mona Mohamed</v>
          </cell>
        </row>
        <row r="1183">
          <cell r="A1183" t="str">
            <v>Kholoud Ashraf</v>
          </cell>
        </row>
        <row r="1184">
          <cell r="A1184" t="str">
            <v>Kick off</v>
          </cell>
          <cell r="B1184" t="str">
            <v>Horeca Smart</v>
          </cell>
          <cell r="C1184" t="str">
            <v xml:space="preserve">عملاء كاش </v>
          </cell>
          <cell r="D1184" t="str">
            <v>Reham Maher</v>
          </cell>
        </row>
        <row r="1185">
          <cell r="A1185" t="str">
            <v>Knk chicken&amp;shakes</v>
          </cell>
          <cell r="B1185" t="str">
            <v>Horeca Smart</v>
          </cell>
          <cell r="C1185" t="str">
            <v xml:space="preserve">عملاء كاش </v>
          </cell>
          <cell r="D1185" t="str">
            <v>Naden Amgad</v>
          </cell>
        </row>
        <row r="1186">
          <cell r="A1186" t="str">
            <v>Koka</v>
          </cell>
          <cell r="B1186" t="str">
            <v>Horeca Smart</v>
          </cell>
          <cell r="C1186" t="str">
            <v xml:space="preserve">عملاء كاش </v>
          </cell>
          <cell r="D1186" t="str">
            <v>Reham Maher</v>
          </cell>
        </row>
        <row r="1187">
          <cell r="A1187" t="str">
            <v>Kokio chicken, Kokio chicken, Maadi</v>
          </cell>
          <cell r="B1187" t="str">
            <v>Horeca Smart</v>
          </cell>
          <cell r="C1187" t="str">
            <v xml:space="preserve">عملاء كاش </v>
          </cell>
          <cell r="D1187" t="str">
            <v>Mona Mohamed</v>
          </cell>
        </row>
        <row r="1188">
          <cell r="A1188" t="str">
            <v>Kokio chicken, Kokio chicken, New Cairo</v>
          </cell>
          <cell r="B1188" t="str">
            <v>Horeca Smart</v>
          </cell>
          <cell r="C1188" t="str">
            <v xml:space="preserve">عملاء كاش </v>
          </cell>
          <cell r="D1188" t="str">
            <v>Mona Mohamed</v>
          </cell>
        </row>
        <row r="1189">
          <cell r="A1189" t="str">
            <v>Koko</v>
          </cell>
          <cell r="B1189" t="str">
            <v>Horeca Smart</v>
          </cell>
          <cell r="C1189" t="str">
            <v xml:space="preserve">عملاء كاش </v>
          </cell>
          <cell r="D1189" t="str">
            <v>Reham Maher</v>
          </cell>
        </row>
        <row r="1190">
          <cell r="A1190" t="str">
            <v>Kokoens</v>
          </cell>
          <cell r="B1190" t="str">
            <v>Horeca Smart</v>
          </cell>
          <cell r="C1190" t="str">
            <v xml:space="preserve">عملاء كاش </v>
          </cell>
          <cell r="D1190" t="str">
            <v>Naden Amgad</v>
          </cell>
        </row>
        <row r="1191">
          <cell r="A1191" t="str">
            <v>Kokoro Cafe&amp;Restaurant</v>
          </cell>
          <cell r="B1191" t="str">
            <v>Horeca Smart</v>
          </cell>
          <cell r="C1191" t="str">
            <v xml:space="preserve">عملاء كاش </v>
          </cell>
          <cell r="D1191" t="str">
            <v>Reham Maher</v>
          </cell>
        </row>
        <row r="1192">
          <cell r="A1192" t="str">
            <v>Krokie Cafe</v>
          </cell>
          <cell r="B1192" t="str">
            <v>Horeca Smart</v>
          </cell>
          <cell r="C1192" t="str">
            <v xml:space="preserve">عملاء كاش </v>
          </cell>
          <cell r="D1192" t="str">
            <v>Donia Khaled</v>
          </cell>
        </row>
        <row r="1193">
          <cell r="A1193" t="str">
            <v>Kyoto Sushi, Kyoto Sushi, Bob sushi - maddi</v>
          </cell>
          <cell r="B1193" t="str">
            <v>Horeca Smart</v>
          </cell>
          <cell r="C1193" t="str">
            <v xml:space="preserve">عملاء كاش </v>
          </cell>
          <cell r="D1193" t="str">
            <v>Mona Mohamed</v>
          </cell>
        </row>
        <row r="1194">
          <cell r="A1194" t="str">
            <v>Kyoto Sushi, Kyoto Sushi, Kyoto Sushi - Nasr City</v>
          </cell>
          <cell r="B1194" t="str">
            <v>Horeca Smart</v>
          </cell>
          <cell r="C1194" t="str">
            <v xml:space="preserve">عملاء كاش </v>
          </cell>
          <cell r="D1194" t="str">
            <v>Naden Amgad</v>
          </cell>
        </row>
        <row r="1195">
          <cell r="A1195" t="str">
            <v>Kyoto Sushi, Kyoto Sushi, October</v>
          </cell>
          <cell r="B1195" t="str">
            <v>Horeca Smart</v>
          </cell>
          <cell r="C1195" t="str">
            <v xml:space="preserve">عملاء كاش </v>
          </cell>
          <cell r="D1195" t="str">
            <v>Naden Amgad</v>
          </cell>
        </row>
        <row r="1196">
          <cell r="A1196" t="str">
            <v>Kyoto Sushi, Kyoto Sushi, Zayed</v>
          </cell>
          <cell r="B1196" t="str">
            <v>Horeca Smart</v>
          </cell>
          <cell r="C1196" t="str">
            <v xml:space="preserve">عملاء كاش </v>
          </cell>
          <cell r="D1196" t="str">
            <v>Naden Amgad</v>
          </cell>
        </row>
        <row r="1197">
          <cell r="A1197" t="str">
            <v>Kyoto Sushi, Kyoto Sushi, bob sushi - Dokki</v>
          </cell>
          <cell r="B1197" t="str">
            <v>Horeca Smart</v>
          </cell>
          <cell r="C1197" t="str">
            <v xml:space="preserve">عملاء كاش </v>
          </cell>
          <cell r="D1197" t="str">
            <v>Naden Amgad</v>
          </cell>
        </row>
        <row r="1198">
          <cell r="A1198" t="str">
            <v>Kyoto Sushi, Kyoto Sushi, الدقى</v>
          </cell>
          <cell r="B1198" t="str">
            <v>Horeca Smart</v>
          </cell>
          <cell r="C1198" t="str">
            <v xml:space="preserve">عملاء كاش </v>
          </cell>
          <cell r="D1198" t="str">
            <v>Naden Amgad</v>
          </cell>
        </row>
        <row r="1199">
          <cell r="A1199" t="str">
            <v>La Casa Cafe</v>
          </cell>
          <cell r="B1199" t="str">
            <v>Horeca Smart</v>
          </cell>
          <cell r="C1199" t="str">
            <v xml:space="preserve">عملاء كاش </v>
          </cell>
          <cell r="D1199" t="str">
            <v>Reham Maher</v>
          </cell>
        </row>
        <row r="1200">
          <cell r="A1200" t="str">
            <v>La Marina Cafe</v>
          </cell>
          <cell r="B1200" t="str">
            <v>Horeca Smart</v>
          </cell>
          <cell r="C1200" t="str">
            <v xml:space="preserve">عملاء كاش </v>
          </cell>
          <cell r="D1200" t="str">
            <v>Reham Maher</v>
          </cell>
        </row>
        <row r="1201">
          <cell r="A1201" t="str">
            <v>La Scala -العبور</v>
          </cell>
          <cell r="B1201" t="str">
            <v>Horeca Smart</v>
          </cell>
          <cell r="C1201" t="str">
            <v xml:space="preserve">عملاء كاش </v>
          </cell>
          <cell r="D1201" t="str">
            <v>Reham Maher</v>
          </cell>
        </row>
        <row r="1202">
          <cell r="A1202" t="str">
            <v>La Scala Cafe&amp;Restaurant</v>
          </cell>
          <cell r="B1202" t="str">
            <v>Horeca Smart</v>
          </cell>
          <cell r="C1202" t="str">
            <v xml:space="preserve">عملاء كاش </v>
          </cell>
          <cell r="D1202" t="str">
            <v>Mona Mohamed</v>
          </cell>
        </row>
        <row r="1203">
          <cell r="A1203" t="str">
            <v>La pergola cafe</v>
          </cell>
          <cell r="B1203" t="str">
            <v>Horeca Smart</v>
          </cell>
          <cell r="C1203" t="str">
            <v xml:space="preserve">عملاء كاش </v>
          </cell>
          <cell r="D1203" t="str">
            <v>Mona Mohamed</v>
          </cell>
        </row>
        <row r="1204">
          <cell r="A1204" t="str">
            <v>LaRosa</v>
          </cell>
          <cell r="B1204" t="str">
            <v>Horeca Smart</v>
          </cell>
          <cell r="C1204" t="str">
            <v xml:space="preserve">عملاء كاش </v>
          </cell>
          <cell r="D1204" t="str">
            <v>Reham Maher</v>
          </cell>
        </row>
        <row r="1205">
          <cell r="A1205" t="str">
            <v>Lacutshina Cafe&amp;restaurant</v>
          </cell>
          <cell r="B1205" t="str">
            <v>Horeca Smart</v>
          </cell>
          <cell r="C1205" t="str">
            <v xml:space="preserve">عملاء كاش </v>
          </cell>
          <cell r="D1205" t="str">
            <v>Mona Mohamed</v>
          </cell>
        </row>
        <row r="1206">
          <cell r="A1206" t="str">
            <v>Ladro</v>
          </cell>
          <cell r="B1206" t="str">
            <v>Horeca Smart</v>
          </cell>
          <cell r="C1206" t="str">
            <v xml:space="preserve">عملاء كاش </v>
          </cell>
          <cell r="D1206" t="str">
            <v>Reham Maher</v>
          </cell>
        </row>
        <row r="1207">
          <cell r="A1207" t="str">
            <v>Lames Magdy</v>
          </cell>
          <cell r="C1207" t="str">
            <v>موظفين</v>
          </cell>
        </row>
        <row r="1208">
          <cell r="A1208" t="str">
            <v>Lancashire</v>
          </cell>
          <cell r="B1208" t="str">
            <v>Horeca Smart</v>
          </cell>
          <cell r="C1208" t="str">
            <v xml:space="preserve">عملاء كاش </v>
          </cell>
          <cell r="D1208" t="str">
            <v>Mona Mohamed</v>
          </cell>
        </row>
        <row r="1209">
          <cell r="A1209" t="str">
            <v>Lava cave Cafe&amp;Restaurant</v>
          </cell>
          <cell r="B1209" t="str">
            <v>Horeca Smart</v>
          </cell>
          <cell r="C1209" t="str">
            <v xml:space="preserve">عملاء كاش </v>
          </cell>
          <cell r="D1209" t="str">
            <v>Reham Maher</v>
          </cell>
        </row>
        <row r="1210">
          <cell r="A1210" t="str">
            <v>Lavazaa</v>
          </cell>
          <cell r="B1210" t="str">
            <v>Horeca Smart</v>
          </cell>
          <cell r="C1210" t="str">
            <v xml:space="preserve">عملاء كاش </v>
          </cell>
          <cell r="D1210" t="str">
            <v>Reham Maher</v>
          </cell>
        </row>
        <row r="1211">
          <cell r="A1211" t="str">
            <v>Le Bistro</v>
          </cell>
          <cell r="B1211" t="str">
            <v>Horeca Smart</v>
          </cell>
          <cell r="C1211" t="str">
            <v xml:space="preserve">عملاء كاش </v>
          </cell>
          <cell r="D1211" t="str">
            <v>Mona Mohamed</v>
          </cell>
        </row>
        <row r="1212">
          <cell r="A1212" t="str">
            <v>Le Ciel Cafe&amp;Restaurant</v>
          </cell>
          <cell r="B1212" t="str">
            <v>Horeca Smart</v>
          </cell>
          <cell r="C1212" t="str">
            <v xml:space="preserve">عملاء كاش </v>
          </cell>
          <cell r="D1212" t="str">
            <v>Reham Maher</v>
          </cell>
        </row>
        <row r="1213">
          <cell r="A1213" t="str">
            <v>Legacy</v>
          </cell>
          <cell r="B1213" t="str">
            <v>Horeca Smart</v>
          </cell>
          <cell r="C1213" t="str">
            <v xml:space="preserve">عملاء كاش </v>
          </cell>
          <cell r="D1213" t="str">
            <v>Shorouk khaled</v>
          </cell>
        </row>
        <row r="1214">
          <cell r="A1214" t="str">
            <v>LiLo Cafe</v>
          </cell>
          <cell r="B1214" t="str">
            <v>Horeca Smart</v>
          </cell>
          <cell r="C1214" t="str">
            <v xml:space="preserve">عملاء كاش </v>
          </cell>
          <cell r="D1214" t="str">
            <v>Reham Maher</v>
          </cell>
        </row>
        <row r="1215">
          <cell r="A1215" t="str">
            <v>Limozin Restaurant</v>
          </cell>
          <cell r="B1215" t="str">
            <v>Horeca Smart</v>
          </cell>
          <cell r="C1215" t="str">
            <v xml:space="preserve">عملاء كاش </v>
          </cell>
          <cell r="D1215" t="str">
            <v>Reham Maher</v>
          </cell>
        </row>
        <row r="1216">
          <cell r="A1216" t="str">
            <v>Linda Cafe</v>
          </cell>
          <cell r="B1216" t="str">
            <v>Horeca Smart</v>
          </cell>
          <cell r="C1216" t="str">
            <v xml:space="preserve">عملاء كاش </v>
          </cell>
          <cell r="D1216" t="str">
            <v>Shorouk khaled</v>
          </cell>
        </row>
        <row r="1217">
          <cell r="A1217" t="str">
            <v>Lit bite</v>
          </cell>
          <cell r="B1217" t="str">
            <v>Horeca Smart</v>
          </cell>
          <cell r="C1217" t="str">
            <v xml:space="preserve">عملاء كاش </v>
          </cell>
          <cell r="D1217" t="str">
            <v>Lames Magdy</v>
          </cell>
        </row>
        <row r="1218">
          <cell r="A1218" t="str">
            <v>Lucaffé</v>
          </cell>
          <cell r="B1218" t="str">
            <v>Horeca Smart</v>
          </cell>
          <cell r="C1218" t="str">
            <v xml:space="preserve">عملاء كاش </v>
          </cell>
          <cell r="D1218" t="str">
            <v>Mona Mohamed</v>
          </cell>
        </row>
        <row r="1219">
          <cell r="A1219" t="str">
            <v>Luka doma</v>
          </cell>
          <cell r="B1219" t="str">
            <v>Horeca Smart</v>
          </cell>
          <cell r="C1219" t="str">
            <v xml:space="preserve">عملاء كاش </v>
          </cell>
          <cell r="D1219" t="str">
            <v>Reham Maher</v>
          </cell>
        </row>
        <row r="1220">
          <cell r="A1220" t="str">
            <v>Luma Cafe</v>
          </cell>
          <cell r="B1220" t="str">
            <v>Horeca Smart</v>
          </cell>
          <cell r="C1220" t="str">
            <v xml:space="preserve">عملاء كاش </v>
          </cell>
          <cell r="D1220" t="str">
            <v>Naden Amgad</v>
          </cell>
        </row>
        <row r="1221">
          <cell r="A1221" t="str">
            <v>Lumiere Cafe&amp;Restaurant</v>
          </cell>
          <cell r="B1221" t="str">
            <v>Horeca Smart</v>
          </cell>
          <cell r="C1221" t="str">
            <v xml:space="preserve">عملاء كاش </v>
          </cell>
          <cell r="D1221" t="str">
            <v>Mona Mohamed</v>
          </cell>
        </row>
        <row r="1222">
          <cell r="A1222" t="str">
            <v>Lusso Cafe&amp;Restaurant</v>
          </cell>
          <cell r="B1222" t="str">
            <v>Horeca Smart</v>
          </cell>
          <cell r="C1222" t="str">
            <v xml:space="preserve">عملاء كاش </v>
          </cell>
          <cell r="D1222" t="str">
            <v>Reham Maher</v>
          </cell>
        </row>
        <row r="1223">
          <cell r="A1223" t="str">
            <v>Luxury Cafe&amp;Restaurant</v>
          </cell>
          <cell r="B1223" t="str">
            <v>Horeca Smart</v>
          </cell>
          <cell r="C1223" t="str">
            <v xml:space="preserve">عملاء كاش </v>
          </cell>
          <cell r="D1223" t="str">
            <v>Reham Maher</v>
          </cell>
        </row>
        <row r="1224">
          <cell r="A1224" t="str">
            <v>M A للتوريدات</v>
          </cell>
          <cell r="B1224" t="str">
            <v>Horeca Smart</v>
          </cell>
          <cell r="C1224" t="str">
            <v xml:space="preserve">عملاء كاش </v>
          </cell>
          <cell r="D1224" t="str">
            <v>Mona Mohamed</v>
          </cell>
        </row>
        <row r="1225">
          <cell r="A1225" t="str">
            <v>M.A. TRED</v>
          </cell>
          <cell r="B1225" t="str">
            <v>Horeca Smart</v>
          </cell>
          <cell r="C1225" t="str">
            <v xml:space="preserve">عملاء كاش </v>
          </cell>
          <cell r="D1225" t="str">
            <v>Mona Mohamed</v>
          </cell>
        </row>
        <row r="1226">
          <cell r="A1226" t="str">
            <v>MAZlX</v>
          </cell>
          <cell r="B1226" t="str">
            <v>Horeca Smart</v>
          </cell>
          <cell r="C1226" t="str">
            <v xml:space="preserve">عملاء كاش </v>
          </cell>
          <cell r="D1226" t="str">
            <v>Lames Magdy</v>
          </cell>
        </row>
        <row r="1227">
          <cell r="A1227" t="str">
            <v>MIMA'S kitchen</v>
          </cell>
          <cell r="B1227" t="str">
            <v>Horeca Smart</v>
          </cell>
          <cell r="C1227" t="str">
            <v xml:space="preserve">عملاء كاش </v>
          </cell>
          <cell r="D1227" t="str">
            <v>Reham Maher</v>
          </cell>
        </row>
        <row r="1228">
          <cell r="A1228" t="str">
            <v>MMaher</v>
          </cell>
          <cell r="B1228" t="str">
            <v>Horeca Smart</v>
          </cell>
          <cell r="C1228" t="str">
            <v xml:space="preserve">عملاء كاش </v>
          </cell>
          <cell r="D1228" t="str">
            <v>Reham Maher</v>
          </cell>
        </row>
        <row r="1229">
          <cell r="A1229" t="str">
            <v>MN Station</v>
          </cell>
          <cell r="B1229" t="str">
            <v>Horeca Smart</v>
          </cell>
          <cell r="C1229" t="str">
            <v xml:space="preserve">عملاء كاش </v>
          </cell>
          <cell r="D1229" t="str">
            <v>Mona Mohamed</v>
          </cell>
        </row>
        <row r="1230">
          <cell r="A1230" t="str">
            <v>MO3AZ HASABO</v>
          </cell>
          <cell r="C1230" t="str">
            <v>موظفين</v>
          </cell>
        </row>
        <row r="1231">
          <cell r="A1231" t="str">
            <v>MOHAMED GLAL ABD-ELMGED</v>
          </cell>
          <cell r="C1231" t="str">
            <v>موظفين</v>
          </cell>
        </row>
        <row r="1232">
          <cell r="A1232" t="str">
            <v>MOHAMED RAMADAN</v>
          </cell>
          <cell r="C1232" t="str">
            <v>موظفين</v>
          </cell>
        </row>
        <row r="1233">
          <cell r="A1233" t="str">
            <v>MOSTAFA MOHMOUD</v>
          </cell>
          <cell r="C1233" t="str">
            <v>موظفين</v>
          </cell>
        </row>
        <row r="1234">
          <cell r="A1234" t="str">
            <v>MR CANDY</v>
          </cell>
          <cell r="B1234" t="str">
            <v>Horeca Smart</v>
          </cell>
          <cell r="C1234" t="str">
            <v xml:space="preserve">عملاء كاش </v>
          </cell>
          <cell r="D1234" t="str">
            <v>Reham Maher</v>
          </cell>
        </row>
        <row r="1235">
          <cell r="A1235" t="str">
            <v>Macan cafe</v>
          </cell>
          <cell r="B1235" t="str">
            <v>Horeca Smart</v>
          </cell>
          <cell r="C1235" t="str">
            <v xml:space="preserve">عملاء كاش </v>
          </cell>
          <cell r="D1235" t="str">
            <v>Mona Mohamed</v>
          </cell>
        </row>
        <row r="1236">
          <cell r="A1236" t="str">
            <v>Maha Mohamed</v>
          </cell>
          <cell r="C1236" t="str">
            <v>موظفين</v>
          </cell>
        </row>
        <row r="1237">
          <cell r="A1237" t="str">
            <v>Mahmoud</v>
          </cell>
        </row>
        <row r="1238">
          <cell r="A1238" t="str">
            <v>Mahmoud Abdelfatah - Sales</v>
          </cell>
          <cell r="C1238" t="str">
            <v>موظفين</v>
          </cell>
        </row>
        <row r="1239">
          <cell r="A1239" t="str">
            <v>Mahmoud Abdelfattah</v>
          </cell>
          <cell r="C1239" t="str">
            <v>موظفين</v>
          </cell>
        </row>
        <row r="1240">
          <cell r="A1240" t="str">
            <v>Mahmoud Ahmed</v>
          </cell>
          <cell r="C1240" t="str">
            <v>موظفين</v>
          </cell>
        </row>
        <row r="1241">
          <cell r="A1241" t="str">
            <v>Mahmoud Ahmed - Sales</v>
          </cell>
          <cell r="C1241" t="str">
            <v>موظفين</v>
          </cell>
        </row>
        <row r="1242">
          <cell r="A1242" t="str">
            <v>Mahmoud Yasser</v>
          </cell>
        </row>
        <row r="1243">
          <cell r="A1243" t="str">
            <v>Mahooo</v>
          </cell>
          <cell r="B1243" t="str">
            <v>Horeca Smart</v>
          </cell>
          <cell r="C1243" t="str">
            <v xml:space="preserve">عملاء كاش </v>
          </cell>
          <cell r="D1243" t="str">
            <v>Mona Mohamed</v>
          </cell>
        </row>
        <row r="1244">
          <cell r="A1244" t="str">
            <v>Makani Cafe</v>
          </cell>
          <cell r="B1244" t="str">
            <v>Horeca Smart</v>
          </cell>
          <cell r="C1244" t="str">
            <v xml:space="preserve">عملاء كاش </v>
          </cell>
          <cell r="D1244" t="str">
            <v>Mona Mohamed</v>
          </cell>
        </row>
        <row r="1245">
          <cell r="A1245" t="str">
            <v>Malmo</v>
          </cell>
          <cell r="B1245" t="str">
            <v>Horeca Smart</v>
          </cell>
          <cell r="C1245" t="str">
            <v xml:space="preserve">عملاء كاش </v>
          </cell>
          <cell r="D1245" t="str">
            <v>Mona Mohamed</v>
          </cell>
        </row>
        <row r="1246">
          <cell r="A1246" t="str">
            <v>Mamo</v>
          </cell>
          <cell r="B1246" t="str">
            <v>Horeca Smart</v>
          </cell>
          <cell r="C1246" t="str">
            <v xml:space="preserve">عملاء كاش </v>
          </cell>
          <cell r="D1246" t="str">
            <v>Naden Amgad</v>
          </cell>
        </row>
        <row r="1247">
          <cell r="A1247" t="str">
            <v>Manos Greek Cafe</v>
          </cell>
          <cell r="B1247" t="str">
            <v>Horeca Smart</v>
          </cell>
          <cell r="C1247" t="str">
            <v xml:space="preserve">عملاء كاش </v>
          </cell>
          <cell r="D1247" t="str">
            <v>Mona Mohamed</v>
          </cell>
        </row>
        <row r="1248">
          <cell r="A1248" t="str">
            <v>Mansor cafe</v>
          </cell>
          <cell r="B1248" t="str">
            <v>Horeca Smart</v>
          </cell>
          <cell r="C1248" t="str">
            <v xml:space="preserve">عملاء كاش </v>
          </cell>
          <cell r="D1248" t="str">
            <v>Naden Amgad</v>
          </cell>
        </row>
        <row r="1249">
          <cell r="A1249" t="str">
            <v>Marasi Cafe&amp;Restaurant</v>
          </cell>
          <cell r="B1249" t="str">
            <v>Horeca Smart</v>
          </cell>
          <cell r="C1249" t="str">
            <v xml:space="preserve">عملاء كاش </v>
          </cell>
          <cell r="D1249" t="str">
            <v>Mona Mohamed</v>
          </cell>
        </row>
        <row r="1250">
          <cell r="A1250" t="str">
            <v>Marwa</v>
          </cell>
        </row>
        <row r="1251">
          <cell r="A1251" t="str">
            <v>Mat sushi</v>
          </cell>
          <cell r="B1251" t="str">
            <v>Horeca Smart</v>
          </cell>
          <cell r="C1251" t="str">
            <v xml:space="preserve">عملاء كاش </v>
          </cell>
          <cell r="D1251" t="str">
            <v>Mona Mohamed</v>
          </cell>
        </row>
        <row r="1252">
          <cell r="A1252" t="str">
            <v>Mazmaza Bakery</v>
          </cell>
          <cell r="B1252" t="str">
            <v>Horeca Smart</v>
          </cell>
          <cell r="C1252" t="str">
            <v xml:space="preserve">عملاء كاش </v>
          </cell>
          <cell r="D1252" t="str">
            <v>Reham Maher</v>
          </cell>
        </row>
        <row r="1253">
          <cell r="A1253" t="str">
            <v>Meat overdose</v>
          </cell>
          <cell r="B1253" t="str">
            <v>Horeca Smart</v>
          </cell>
          <cell r="C1253" t="str">
            <v xml:space="preserve">عملاء كاش </v>
          </cell>
          <cell r="D1253" t="str">
            <v>Mona Mohamed</v>
          </cell>
        </row>
        <row r="1254">
          <cell r="A1254" t="str">
            <v>Medekari</v>
          </cell>
          <cell r="B1254" t="str">
            <v>Horeca Smart</v>
          </cell>
          <cell r="C1254" t="str">
            <v xml:space="preserve">عملاء كاش </v>
          </cell>
          <cell r="D1254" t="str">
            <v>Mona Mohamed</v>
          </cell>
        </row>
        <row r="1255">
          <cell r="A1255" t="str">
            <v>Mega bites</v>
          </cell>
          <cell r="B1255" t="str">
            <v>Horeca Smart</v>
          </cell>
          <cell r="C1255" t="str">
            <v xml:space="preserve">عملاء كاش </v>
          </cell>
          <cell r="D1255" t="str">
            <v>Naden Amgad</v>
          </cell>
        </row>
        <row r="1256">
          <cell r="A1256" t="str">
            <v>Menta Restaurant&amp;cafe</v>
          </cell>
          <cell r="B1256" t="str">
            <v>Horeca Smart</v>
          </cell>
          <cell r="C1256" t="str">
            <v xml:space="preserve">عملاء كاش </v>
          </cell>
          <cell r="D1256" t="str">
            <v>Reham Maher</v>
          </cell>
        </row>
        <row r="1257">
          <cell r="A1257" t="str">
            <v>Michael Barakat</v>
          </cell>
        </row>
        <row r="1258">
          <cell r="A1258" t="str">
            <v>Midove torte</v>
          </cell>
          <cell r="B1258" t="str">
            <v>Horeca Smart</v>
          </cell>
          <cell r="C1258" t="str">
            <v xml:space="preserve">عملاء كاش </v>
          </cell>
          <cell r="D1258" t="str">
            <v>Mona Mohamed</v>
          </cell>
        </row>
        <row r="1259">
          <cell r="A1259" t="str">
            <v>Milad</v>
          </cell>
        </row>
        <row r="1260">
          <cell r="A1260" t="str">
            <v>Mina</v>
          </cell>
        </row>
        <row r="1261">
          <cell r="A1261" t="str">
            <v>Mince Restaurant</v>
          </cell>
          <cell r="B1261" t="str">
            <v>Horeca Smart</v>
          </cell>
          <cell r="C1261" t="str">
            <v xml:space="preserve">عملاء كاش </v>
          </cell>
          <cell r="D1261" t="str">
            <v>Naden Amgad</v>
          </cell>
        </row>
        <row r="1262">
          <cell r="A1262" t="str">
            <v>Mixat Restaurant</v>
          </cell>
          <cell r="B1262" t="str">
            <v>Horeca Smart</v>
          </cell>
          <cell r="C1262" t="str">
            <v xml:space="preserve">عملاء كاش </v>
          </cell>
          <cell r="D1262" t="str">
            <v>Mona Mohamed</v>
          </cell>
        </row>
        <row r="1263">
          <cell r="A1263" t="str">
            <v>Mkanak Cafe</v>
          </cell>
          <cell r="B1263" t="str">
            <v>Horeca Smart</v>
          </cell>
          <cell r="C1263" t="str">
            <v xml:space="preserve">عملاء كاش </v>
          </cell>
          <cell r="D1263" t="str">
            <v>Mona Mohamed</v>
          </cell>
        </row>
        <row r="1264">
          <cell r="A1264" t="str">
            <v>Mo Motchi Cafe</v>
          </cell>
          <cell r="B1264" t="str">
            <v>Horeca Smart</v>
          </cell>
          <cell r="C1264" t="str">
            <v xml:space="preserve">عملاء كاش </v>
          </cell>
          <cell r="D1264" t="str">
            <v>Mona Mohamed</v>
          </cell>
        </row>
        <row r="1265">
          <cell r="A1265" t="str">
            <v>Moayad Elmaghraby</v>
          </cell>
        </row>
        <row r="1266">
          <cell r="A1266" t="str">
            <v>Mohamed</v>
          </cell>
        </row>
        <row r="1267">
          <cell r="A1267" t="str">
            <v>Mohamed Ahmed</v>
          </cell>
        </row>
        <row r="1268">
          <cell r="A1268" t="str">
            <v>Mohamed Ali</v>
          </cell>
          <cell r="C1268" t="str">
            <v>موظفين</v>
          </cell>
        </row>
        <row r="1269">
          <cell r="A1269" t="str">
            <v>Mohamed Alokaily</v>
          </cell>
        </row>
        <row r="1270">
          <cell r="A1270" t="str">
            <v>Mohamed El shabrawy</v>
          </cell>
        </row>
        <row r="1271">
          <cell r="A1271" t="str">
            <v>Mohamed Gamal</v>
          </cell>
          <cell r="C1271" t="str">
            <v>موظفين</v>
          </cell>
        </row>
        <row r="1272">
          <cell r="A1272" t="str">
            <v>Mohamed Hossam</v>
          </cell>
          <cell r="C1272" t="str">
            <v>موظفين</v>
          </cell>
        </row>
        <row r="1273">
          <cell r="A1273" t="str">
            <v>Mohamed Jaafer</v>
          </cell>
          <cell r="C1273" t="str">
            <v>موظفين</v>
          </cell>
        </row>
        <row r="1274">
          <cell r="A1274" t="str">
            <v>Mohamed Kamal</v>
          </cell>
        </row>
        <row r="1275">
          <cell r="A1275" t="str">
            <v>Mohamed Saeed</v>
          </cell>
          <cell r="C1275" t="str">
            <v>موظفين</v>
          </cell>
        </row>
        <row r="1276">
          <cell r="A1276" t="str">
            <v>Mohamed Salah</v>
          </cell>
        </row>
        <row r="1277">
          <cell r="A1277" t="str">
            <v>Mohamed badr</v>
          </cell>
        </row>
        <row r="1278">
          <cell r="A1278" t="str">
            <v>Mohamed khaled</v>
          </cell>
          <cell r="C1278" t="str">
            <v>موظفين</v>
          </cell>
        </row>
        <row r="1279">
          <cell r="A1279" t="str">
            <v>Mohammed</v>
          </cell>
        </row>
        <row r="1280">
          <cell r="A1280" t="str">
            <v>Moka yard Cafe</v>
          </cell>
          <cell r="B1280" t="str">
            <v>Horeca Smart</v>
          </cell>
          <cell r="C1280" t="str">
            <v xml:space="preserve">عملاء كاش </v>
          </cell>
          <cell r="D1280" t="str">
            <v>Reham Maher</v>
          </cell>
        </row>
        <row r="1281">
          <cell r="A1281" t="str">
            <v>Mokito</v>
          </cell>
          <cell r="B1281" t="str">
            <v>Horeca Smart</v>
          </cell>
          <cell r="C1281" t="str">
            <v xml:space="preserve">عملاء كاش </v>
          </cell>
          <cell r="D1281" t="str">
            <v>Reham Maher</v>
          </cell>
        </row>
        <row r="1282">
          <cell r="A1282" t="str">
            <v>Mona Mohamed</v>
          </cell>
          <cell r="C1282" t="str">
            <v>موظفين</v>
          </cell>
        </row>
        <row r="1283">
          <cell r="A1283" t="str">
            <v>Monana Cafe</v>
          </cell>
          <cell r="B1283" t="str">
            <v>Horeca Smart</v>
          </cell>
          <cell r="C1283" t="str">
            <v xml:space="preserve">عملاء كاش </v>
          </cell>
          <cell r="D1283" t="str">
            <v>Naden Amgad</v>
          </cell>
        </row>
        <row r="1284">
          <cell r="A1284" t="str">
            <v>Mono sushi</v>
          </cell>
          <cell r="B1284" t="str">
            <v>Horeca Smart</v>
          </cell>
          <cell r="C1284" t="str">
            <v xml:space="preserve">عملاء كاش </v>
          </cell>
          <cell r="D1284" t="str">
            <v>Reham Maher</v>
          </cell>
        </row>
        <row r="1285">
          <cell r="A1285" t="str">
            <v>Monoplay</v>
          </cell>
          <cell r="B1285" t="str">
            <v>Horeca Smart</v>
          </cell>
          <cell r="C1285" t="str">
            <v xml:space="preserve">عملاء كاش </v>
          </cell>
          <cell r="D1285" t="str">
            <v>Mona Mohamed</v>
          </cell>
        </row>
        <row r="1286">
          <cell r="A1286" t="str">
            <v>Mood Corner</v>
          </cell>
          <cell r="B1286" t="str">
            <v>Horeca Smart</v>
          </cell>
          <cell r="C1286" t="str">
            <v xml:space="preserve">عملاء كاش </v>
          </cell>
          <cell r="D1286" t="str">
            <v>Mona Mohamed</v>
          </cell>
        </row>
        <row r="1287">
          <cell r="A1287" t="str">
            <v>Mood cafe</v>
          </cell>
          <cell r="B1287" t="str">
            <v>Horeca Smart</v>
          </cell>
          <cell r="C1287" t="str">
            <v xml:space="preserve">عملاء كاش </v>
          </cell>
          <cell r="D1287" t="str">
            <v>Naden Amgad</v>
          </cell>
        </row>
        <row r="1288">
          <cell r="A1288" t="str">
            <v>Mood on Cafe</v>
          </cell>
          <cell r="B1288" t="str">
            <v>Horeca Smart</v>
          </cell>
          <cell r="C1288" t="str">
            <v xml:space="preserve">عملاء كاش </v>
          </cell>
          <cell r="D1288" t="str">
            <v>Donia Khaled</v>
          </cell>
        </row>
        <row r="1289">
          <cell r="A1289" t="str">
            <v>Moodk Cafe</v>
          </cell>
          <cell r="B1289" t="str">
            <v>Horeca Smart</v>
          </cell>
          <cell r="C1289" t="str">
            <v xml:space="preserve">عملاء كاش </v>
          </cell>
          <cell r="D1289" t="str">
            <v>Reham Maher</v>
          </cell>
        </row>
        <row r="1290">
          <cell r="A1290" t="str">
            <v>Mooi Cafe&amp;Restaurant</v>
          </cell>
          <cell r="B1290" t="str">
            <v>Horeca Smart</v>
          </cell>
          <cell r="C1290" t="str">
            <v xml:space="preserve">عملاء كاش </v>
          </cell>
          <cell r="D1290" t="str">
            <v>Reham Maher</v>
          </cell>
        </row>
        <row r="1291">
          <cell r="A1291" t="str">
            <v>Mostafa Adnan</v>
          </cell>
        </row>
        <row r="1292">
          <cell r="A1292" t="str">
            <v>Mostafa El-Husseiny</v>
          </cell>
          <cell r="C1292" t="str">
            <v>موظفين</v>
          </cell>
        </row>
        <row r="1293">
          <cell r="A1293" t="str">
            <v>Mostafa Habeeb</v>
          </cell>
          <cell r="C1293" t="str">
            <v>موظفين</v>
          </cell>
        </row>
        <row r="1294">
          <cell r="A1294" t="str">
            <v>Mostafa Hassan</v>
          </cell>
          <cell r="C1294" t="str">
            <v>موظفين</v>
          </cell>
        </row>
        <row r="1295">
          <cell r="A1295" t="str">
            <v>Mostafa ahmed</v>
          </cell>
        </row>
        <row r="1296">
          <cell r="A1296" t="str">
            <v>Motche do Cafe, Motche do Cafe, Industrial area</v>
          </cell>
          <cell r="B1296" t="str">
            <v>Horeca Smart</v>
          </cell>
          <cell r="C1296" t="str">
            <v xml:space="preserve">عملاء كاش </v>
          </cell>
          <cell r="D1296" t="str">
            <v>Mona Mohamed</v>
          </cell>
        </row>
        <row r="1297">
          <cell r="A1297" t="str">
            <v>Motche do Cafe, Motche do Cafe, التجمع الاول</v>
          </cell>
          <cell r="B1297" t="str">
            <v>Horeca Smart</v>
          </cell>
          <cell r="C1297" t="str">
            <v xml:space="preserve">عملاء كاش </v>
          </cell>
          <cell r="D1297" t="str">
            <v>Lames Magdy</v>
          </cell>
        </row>
        <row r="1298">
          <cell r="A1298" t="str">
            <v>Motta Cafe</v>
          </cell>
          <cell r="B1298" t="str">
            <v>Horeca Smart</v>
          </cell>
          <cell r="C1298" t="str">
            <v xml:space="preserve">عملاء كاش </v>
          </cell>
          <cell r="D1298" t="str">
            <v>Mona Mohamed</v>
          </cell>
        </row>
        <row r="1299">
          <cell r="A1299" t="str">
            <v>Movenpick Cafe, Movenpick Cafe, اكتوبر</v>
          </cell>
          <cell r="B1299" t="str">
            <v>Horeca Smart</v>
          </cell>
          <cell r="C1299" t="str">
            <v xml:space="preserve">عملاء كاش </v>
          </cell>
          <cell r="D1299" t="str">
            <v>Naden Amgad</v>
          </cell>
        </row>
        <row r="1300">
          <cell r="A1300" t="str">
            <v>Movenpick Cafe, Movenpick Cafe, الرحاب</v>
          </cell>
          <cell r="B1300" t="str">
            <v>Horeca Smart</v>
          </cell>
          <cell r="C1300" t="str">
            <v xml:space="preserve">عملاء كاش </v>
          </cell>
          <cell r="D1300" t="str">
            <v>Lames Magdy</v>
          </cell>
        </row>
        <row r="1301">
          <cell r="A1301" t="str">
            <v>Movenpick Cafe, مدينتي</v>
          </cell>
          <cell r="B1301" t="str">
            <v>Horeca Smart</v>
          </cell>
          <cell r="C1301" t="str">
            <v xml:space="preserve">عملاء كاش </v>
          </cell>
          <cell r="D1301" t="str">
            <v>Lames Magdy</v>
          </cell>
        </row>
        <row r="1302">
          <cell r="A1302" t="str">
            <v>Mr Mahmoued</v>
          </cell>
        </row>
        <row r="1303">
          <cell r="A1303" t="str">
            <v>Mr Omar Crepe &amp;Waffles</v>
          </cell>
          <cell r="B1303" t="str">
            <v>Horeca Smart</v>
          </cell>
          <cell r="C1303" t="str">
            <v xml:space="preserve">عملاء كاش </v>
          </cell>
          <cell r="D1303" t="str">
            <v>Reham Maher</v>
          </cell>
        </row>
        <row r="1304">
          <cell r="A1304" t="str">
            <v>Mr Tasty</v>
          </cell>
          <cell r="B1304" t="str">
            <v>Horeca Smart</v>
          </cell>
          <cell r="C1304" t="str">
            <v xml:space="preserve">عملاء كاش </v>
          </cell>
          <cell r="D1304" t="str">
            <v>Mona Mohamed</v>
          </cell>
        </row>
        <row r="1305">
          <cell r="A1305" t="str">
            <v>Mr. Donut</v>
          </cell>
          <cell r="B1305" t="str">
            <v>Horeca Smart</v>
          </cell>
          <cell r="C1305" t="str">
            <v xml:space="preserve">عملاء كاش </v>
          </cell>
          <cell r="D1305" t="str">
            <v>Mona Mohamed</v>
          </cell>
        </row>
        <row r="1306">
          <cell r="A1306" t="str">
            <v>Muslim</v>
          </cell>
        </row>
        <row r="1307">
          <cell r="A1307" t="str">
            <v>NINO'S Coffee</v>
          </cell>
          <cell r="B1307" t="str">
            <v>Horeca Smart</v>
          </cell>
          <cell r="C1307" t="str">
            <v xml:space="preserve">عملاء كاش </v>
          </cell>
          <cell r="D1307" t="str">
            <v>Mona Mohamed</v>
          </cell>
        </row>
        <row r="1308">
          <cell r="A1308" t="str">
            <v>Naden Amgad</v>
          </cell>
          <cell r="C1308" t="str">
            <v>موظفين</v>
          </cell>
        </row>
        <row r="1309">
          <cell r="A1309" t="str">
            <v>Nagoya - Zayed</v>
          </cell>
          <cell r="B1309" t="str">
            <v>Horeca Smart</v>
          </cell>
          <cell r="C1309" t="str">
            <v xml:space="preserve">عملاء كاش </v>
          </cell>
          <cell r="D1309" t="str">
            <v>Reham Maher</v>
          </cell>
        </row>
        <row r="1310">
          <cell r="A1310" t="str">
            <v>Nagoya Sushi</v>
          </cell>
          <cell r="B1310" t="str">
            <v>Horeca Smart</v>
          </cell>
          <cell r="C1310" t="str">
            <v xml:space="preserve">عملاء كاش </v>
          </cell>
          <cell r="D1310" t="str">
            <v>Reham Maher</v>
          </cell>
        </row>
        <row r="1311">
          <cell r="A1311" t="str">
            <v>Nagoya Sushi, Nagoya Sushi, Heliopolis</v>
          </cell>
          <cell r="B1311" t="str">
            <v>Horeca Smart</v>
          </cell>
          <cell r="C1311" t="str">
            <v xml:space="preserve">عملاء كاش </v>
          </cell>
          <cell r="D1311" t="str">
            <v>Reham Maher</v>
          </cell>
        </row>
        <row r="1312">
          <cell r="A1312" t="str">
            <v>Nagoya Sushi, Nagoya Sushi, Maddi</v>
          </cell>
          <cell r="B1312" t="str">
            <v>Horeca Smart</v>
          </cell>
          <cell r="C1312" t="str">
            <v xml:space="preserve">عملاء كاش </v>
          </cell>
          <cell r="D1312" t="str">
            <v>Reham Maher</v>
          </cell>
        </row>
        <row r="1313">
          <cell r="A1313" t="str">
            <v>Nagoya Sushi, Nagoya Sushi, New Cairo</v>
          </cell>
          <cell r="B1313" t="str">
            <v>Horeca Smart</v>
          </cell>
          <cell r="C1313" t="str">
            <v xml:space="preserve">عملاء كاش </v>
          </cell>
          <cell r="D1313" t="str">
            <v>Reham Maher</v>
          </cell>
        </row>
        <row r="1314">
          <cell r="A1314" t="str">
            <v>Namu Garden</v>
          </cell>
        </row>
        <row r="1315">
          <cell r="A1315" t="str">
            <v>Nara Lebanese Restaurant</v>
          </cell>
          <cell r="B1315" t="str">
            <v>Horeca Smart</v>
          </cell>
          <cell r="C1315" t="str">
            <v xml:space="preserve">عملاء كاش </v>
          </cell>
          <cell r="D1315" t="str">
            <v>Mona Mohamed</v>
          </cell>
        </row>
        <row r="1316">
          <cell r="A1316" t="str">
            <v>Nariman Nabil</v>
          </cell>
          <cell r="B1316" t="str">
            <v>Horeca Smart</v>
          </cell>
          <cell r="C1316" t="str">
            <v xml:space="preserve">عملاء كاش </v>
          </cell>
          <cell r="D1316" t="str">
            <v>Reham Maher</v>
          </cell>
        </row>
        <row r="1317">
          <cell r="A1317" t="str">
            <v>Negroni Restaurant</v>
          </cell>
          <cell r="B1317" t="str">
            <v>Horeca Smart</v>
          </cell>
          <cell r="C1317" t="str">
            <v xml:space="preserve">عملاء كاش </v>
          </cell>
          <cell r="D1317" t="str">
            <v>Mona Mohamed</v>
          </cell>
        </row>
        <row r="1318">
          <cell r="A1318" t="str">
            <v>Nichie -الرحاب</v>
          </cell>
          <cell r="B1318" t="str">
            <v>Horeca Smart</v>
          </cell>
          <cell r="C1318" t="str">
            <v xml:space="preserve">عملاء كاش </v>
          </cell>
          <cell r="D1318" t="str">
            <v>Mona Mohamed</v>
          </cell>
        </row>
        <row r="1319">
          <cell r="A1319" t="str">
            <v>Nile Gourmet</v>
          </cell>
          <cell r="B1319" t="str">
            <v>Horeca Smart</v>
          </cell>
          <cell r="C1319" t="str">
            <v xml:space="preserve">عملاء كاش </v>
          </cell>
          <cell r="D1319" t="str">
            <v>Reham Maher</v>
          </cell>
        </row>
        <row r="1320">
          <cell r="A1320" t="str">
            <v>Nile Maxim restaurant</v>
          </cell>
          <cell r="B1320" t="str">
            <v>Horeca Smart</v>
          </cell>
          <cell r="C1320" t="str">
            <v xml:space="preserve">عملاء كاش </v>
          </cell>
          <cell r="D1320" t="str">
            <v>Mona Mohamed</v>
          </cell>
        </row>
        <row r="1321">
          <cell r="A1321" t="str">
            <v>Nile View Jewel Hotel</v>
          </cell>
          <cell r="B1321" t="str">
            <v>Horeca Smart</v>
          </cell>
          <cell r="C1321" t="str">
            <v xml:space="preserve">عملاء كاش </v>
          </cell>
          <cell r="D1321" t="str">
            <v>Mona Mohamed</v>
          </cell>
        </row>
        <row r="1322">
          <cell r="A1322" t="str">
            <v>Nino Cafe</v>
          </cell>
          <cell r="B1322" t="str">
            <v>Horeca Smart</v>
          </cell>
          <cell r="C1322" t="str">
            <v xml:space="preserve">عملاء كاش </v>
          </cell>
          <cell r="D1322" t="str">
            <v>Reham Maher</v>
          </cell>
        </row>
        <row r="1323">
          <cell r="A1323" t="str">
            <v>Nino’s Tree Cafe</v>
          </cell>
          <cell r="B1323" t="str">
            <v>Horeca Smart</v>
          </cell>
          <cell r="C1323" t="str">
            <v xml:space="preserve">عملاء كاش </v>
          </cell>
          <cell r="D1323" t="str">
            <v>Mona Mohamed</v>
          </cell>
        </row>
        <row r="1324">
          <cell r="A1324" t="str">
            <v>Noisette bakehouse Cafe</v>
          </cell>
          <cell r="B1324" t="str">
            <v>Horeca Smart</v>
          </cell>
          <cell r="C1324" t="str">
            <v xml:space="preserve">عملاء كاش </v>
          </cell>
          <cell r="D1324" t="str">
            <v>Mona Mohamed</v>
          </cell>
        </row>
        <row r="1325">
          <cell r="A1325" t="str">
            <v>Noor Cafe</v>
          </cell>
          <cell r="B1325" t="str">
            <v>Horeca Smart</v>
          </cell>
          <cell r="C1325" t="str">
            <v xml:space="preserve">عملاء كاش </v>
          </cell>
          <cell r="D1325" t="str">
            <v>Mona Mohamed</v>
          </cell>
        </row>
        <row r="1326">
          <cell r="A1326" t="str">
            <v>Noser Gala</v>
          </cell>
        </row>
        <row r="1327">
          <cell r="A1327" t="str">
            <v>Not toys cafe</v>
          </cell>
          <cell r="B1327" t="str">
            <v>MAS</v>
          </cell>
          <cell r="C1327" t="str">
            <v xml:space="preserve">عملاء كاش </v>
          </cell>
          <cell r="D1327" t="str">
            <v>Haddil Haron</v>
          </cell>
        </row>
        <row r="1328">
          <cell r="A1328" t="str">
            <v>Nour Mahmoud</v>
          </cell>
          <cell r="C1328" t="str">
            <v>موظفين</v>
          </cell>
        </row>
        <row r="1329">
          <cell r="A1329" t="str">
            <v>Nutcracker</v>
          </cell>
          <cell r="B1329" t="str">
            <v>Horeca Smart</v>
          </cell>
          <cell r="C1329" t="str">
            <v xml:space="preserve">عملاء كاش </v>
          </cell>
          <cell r="D1329" t="str">
            <v>Mona Mohamed</v>
          </cell>
        </row>
        <row r="1330">
          <cell r="A1330" t="str">
            <v>Nutella Roll</v>
          </cell>
          <cell r="B1330" t="str">
            <v>Horeca Smart</v>
          </cell>
          <cell r="C1330" t="str">
            <v xml:space="preserve">عملاء كاش </v>
          </cell>
          <cell r="D1330" t="str">
            <v>Rasha Hassan</v>
          </cell>
        </row>
        <row r="1331">
          <cell r="A1331" t="str">
            <v>Nutello house wissam</v>
          </cell>
          <cell r="B1331" t="str">
            <v>Horeca Smart</v>
          </cell>
          <cell r="C1331" t="str">
            <v xml:space="preserve">عملاء كاش </v>
          </cell>
          <cell r="D1331" t="str">
            <v>Mona Mohamed</v>
          </cell>
        </row>
        <row r="1332">
          <cell r="A1332" t="str">
            <v>ON Cafe</v>
          </cell>
          <cell r="B1332" t="str">
            <v>Horeca Smart</v>
          </cell>
          <cell r="C1332" t="str">
            <v xml:space="preserve">عملاء كاش </v>
          </cell>
          <cell r="D1332" t="str">
            <v>Mona Mohamed</v>
          </cell>
        </row>
        <row r="1333">
          <cell r="A1333" t="str">
            <v>ORTO Restaurant</v>
          </cell>
          <cell r="B1333" t="str">
            <v>Horeca Smart</v>
          </cell>
          <cell r="C1333" t="str">
            <v xml:space="preserve">عملاء كاش </v>
          </cell>
          <cell r="D1333" t="str">
            <v>Naden Amgad</v>
          </cell>
        </row>
        <row r="1334">
          <cell r="A1334" t="str">
            <v>OdooBot</v>
          </cell>
          <cell r="B1334" t="str">
            <v>MAS</v>
          </cell>
        </row>
        <row r="1335">
          <cell r="A1335" t="str">
            <v>Omar Bakery</v>
          </cell>
          <cell r="B1335" t="str">
            <v>Horeca Smart</v>
          </cell>
          <cell r="C1335" t="str">
            <v xml:space="preserve">عملاء كاش </v>
          </cell>
          <cell r="D1335" t="str">
            <v>Reham Maher</v>
          </cell>
        </row>
        <row r="1336">
          <cell r="A1336" t="str">
            <v>One caffe</v>
          </cell>
          <cell r="B1336" t="str">
            <v>Horeca Smart</v>
          </cell>
          <cell r="C1336" t="str">
            <v xml:space="preserve">عملاء كاش </v>
          </cell>
          <cell r="D1336" t="str">
            <v>Reham Maher</v>
          </cell>
        </row>
        <row r="1337">
          <cell r="A1337" t="str">
            <v>Opal</v>
          </cell>
          <cell r="B1337" t="str">
            <v>Horeca Smart</v>
          </cell>
          <cell r="C1337" t="str">
            <v xml:space="preserve">عملاء كاش </v>
          </cell>
          <cell r="D1337" t="str">
            <v>Donia Khaled</v>
          </cell>
        </row>
        <row r="1338">
          <cell r="A1338" t="str">
            <v>Orca Bites</v>
          </cell>
          <cell r="B1338" t="str">
            <v>Horeca Smart</v>
          </cell>
          <cell r="C1338" t="str">
            <v xml:space="preserve">عملاء كاش </v>
          </cell>
          <cell r="D1338" t="str">
            <v>Mona Mohamed</v>
          </cell>
        </row>
        <row r="1339">
          <cell r="A1339" t="str">
            <v>Order Chef</v>
          </cell>
          <cell r="B1339" t="str">
            <v>MAS</v>
          </cell>
          <cell r="C1339" t="str">
            <v>موردين كاش</v>
          </cell>
          <cell r="D1339" t="str">
            <v>Donia Khaled</v>
          </cell>
        </row>
        <row r="1340">
          <cell r="A1340" t="str">
            <v>Oriento Restaurant</v>
          </cell>
          <cell r="B1340" t="str">
            <v>Horeca Smart</v>
          </cell>
          <cell r="C1340" t="str">
            <v xml:space="preserve">عملاء كاش </v>
          </cell>
          <cell r="D1340" t="str">
            <v>Lames Magdy</v>
          </cell>
        </row>
        <row r="1341">
          <cell r="A1341" t="str">
            <v>Oriento Restaurant, Oriento Restaurant, المخزن</v>
          </cell>
          <cell r="B1341" t="str">
            <v>Horeca Smart</v>
          </cell>
          <cell r="C1341" t="str">
            <v xml:space="preserve">عملاء كاش </v>
          </cell>
          <cell r="D1341" t="str">
            <v>Lames Magdy</v>
          </cell>
        </row>
        <row r="1342">
          <cell r="A1342" t="str">
            <v>Oriento Restaurant, Oriento Restaurant, مدينة نصر</v>
          </cell>
          <cell r="B1342" t="str">
            <v>Horeca Smart</v>
          </cell>
          <cell r="C1342" t="str">
            <v xml:space="preserve">عملاء كاش </v>
          </cell>
          <cell r="D1342" t="str">
            <v>Lames Magdy</v>
          </cell>
        </row>
        <row r="1343">
          <cell r="A1343" t="str">
            <v>Orma</v>
          </cell>
          <cell r="B1343" t="str">
            <v>Horeca Smart</v>
          </cell>
          <cell r="C1343" t="str">
            <v xml:space="preserve">عملاء كاش </v>
          </cell>
          <cell r="D1343" t="str">
            <v>Mona Mohamed</v>
          </cell>
        </row>
        <row r="1344">
          <cell r="A1344" t="str">
            <v>Orma, Orma, Zayed</v>
          </cell>
          <cell r="B1344" t="str">
            <v>Horeca Smart</v>
          </cell>
          <cell r="C1344" t="str">
            <v xml:space="preserve">عملاء كاش </v>
          </cell>
          <cell r="D1344" t="str">
            <v>Naden Amgad</v>
          </cell>
        </row>
        <row r="1345">
          <cell r="A1345" t="str">
            <v>Orma, Orma, التجمع</v>
          </cell>
          <cell r="B1345" t="str">
            <v>Horeca Smart</v>
          </cell>
          <cell r="C1345" t="str">
            <v xml:space="preserve">عملاء كاش </v>
          </cell>
          <cell r="D1345" t="str">
            <v>Mona Mohamed</v>
          </cell>
        </row>
        <row r="1346">
          <cell r="A1346" t="str">
            <v>Orma, Orma, العبور</v>
          </cell>
          <cell r="B1346" t="str">
            <v>Horeca Smart</v>
          </cell>
          <cell r="C1346" t="str">
            <v xml:space="preserve">عملاء كاش </v>
          </cell>
          <cell r="D1346" t="str">
            <v>Mona Mohamed</v>
          </cell>
        </row>
        <row r="1347">
          <cell r="A1347" t="str">
            <v>Orma, Orma, المخزن</v>
          </cell>
          <cell r="B1347" t="str">
            <v>Horeca Smart</v>
          </cell>
          <cell r="C1347" t="str">
            <v xml:space="preserve">عملاء كاش </v>
          </cell>
          <cell r="D1347" t="str">
            <v>Mona Mohamed</v>
          </cell>
        </row>
        <row r="1348">
          <cell r="A1348" t="str">
            <v>Osta Grill</v>
          </cell>
          <cell r="B1348" t="str">
            <v>Horeca Smart</v>
          </cell>
          <cell r="C1348" t="str">
            <v xml:space="preserve">عملاء كاش </v>
          </cell>
          <cell r="D1348" t="str">
            <v>Mona Mohamed</v>
          </cell>
        </row>
        <row r="1349">
          <cell r="A1349" t="str">
            <v>Oxygen O2 Cafe</v>
          </cell>
          <cell r="B1349" t="str">
            <v>Horeca Smart</v>
          </cell>
          <cell r="C1349" t="str">
            <v xml:space="preserve">عملاء كاش </v>
          </cell>
          <cell r="D1349" t="str">
            <v>Mona Mohamed</v>
          </cell>
        </row>
        <row r="1350">
          <cell r="A1350" t="str">
            <v>PHEEBS Restaurant</v>
          </cell>
          <cell r="B1350" t="str">
            <v>Horeca Smart</v>
          </cell>
          <cell r="C1350" t="str">
            <v xml:space="preserve">عملاء كاش </v>
          </cell>
          <cell r="D1350" t="str">
            <v>Lames Magdy</v>
          </cell>
        </row>
        <row r="1351">
          <cell r="A1351" t="str">
            <v>Panda</v>
          </cell>
          <cell r="B1351" t="str">
            <v>Horeca Smart</v>
          </cell>
          <cell r="C1351" t="str">
            <v xml:space="preserve">عملاء كاش </v>
          </cell>
          <cell r="D1351" t="str">
            <v>Naden Amgad</v>
          </cell>
        </row>
        <row r="1352">
          <cell r="A1352" t="str">
            <v>Paros Restaurant</v>
          </cell>
          <cell r="B1352" t="str">
            <v>Horeca Smart</v>
          </cell>
          <cell r="C1352" t="str">
            <v xml:space="preserve">عملاء كاش </v>
          </cell>
          <cell r="D1352" t="str">
            <v>Mona Mohamed</v>
          </cell>
        </row>
        <row r="1353">
          <cell r="A1353" t="str">
            <v>Pascca Restaurant</v>
          </cell>
          <cell r="B1353" t="str">
            <v>Horeca Smart</v>
          </cell>
          <cell r="C1353" t="str">
            <v xml:space="preserve">عملاء كاش </v>
          </cell>
          <cell r="D1353" t="str">
            <v>Mona Mohamed</v>
          </cell>
        </row>
        <row r="1354">
          <cell r="A1354" t="str">
            <v>Pastini Cafe</v>
          </cell>
          <cell r="B1354" t="str">
            <v>Horeca Smart</v>
          </cell>
          <cell r="C1354" t="str">
            <v xml:space="preserve">عملاء كاش </v>
          </cell>
          <cell r="D1354" t="str">
            <v>Mona Mohamed</v>
          </cell>
        </row>
        <row r="1355">
          <cell r="A1355" t="str">
            <v>Pianista, Pianista, المطرية الغربية</v>
          </cell>
          <cell r="B1355" t="str">
            <v>Horeca Smart</v>
          </cell>
          <cell r="C1355" t="str">
            <v xml:space="preserve">عملاء كاش </v>
          </cell>
          <cell r="D1355" t="str">
            <v>Mona Mohamed</v>
          </cell>
        </row>
        <row r="1356">
          <cell r="A1356" t="str">
            <v>Picups Cafe</v>
          </cell>
          <cell r="B1356" t="str">
            <v>Horeca Smart</v>
          </cell>
          <cell r="C1356" t="str">
            <v xml:space="preserve">عملاء كاش </v>
          </cell>
          <cell r="D1356" t="str">
            <v>Reham Maher</v>
          </cell>
        </row>
        <row r="1357">
          <cell r="A1357" t="str">
            <v>Pina Colada</v>
          </cell>
          <cell r="B1357" t="str">
            <v>Horeca Smart</v>
          </cell>
          <cell r="C1357" t="str">
            <v xml:space="preserve">عملاء كاش </v>
          </cell>
          <cell r="D1357" t="str">
            <v>Reham Maher</v>
          </cell>
        </row>
        <row r="1358">
          <cell r="A1358" t="str">
            <v>PinkPalms Mivida</v>
          </cell>
          <cell r="B1358" t="str">
            <v>Horeca Smart</v>
          </cell>
          <cell r="C1358" t="str">
            <v xml:space="preserve">عملاء كاش </v>
          </cell>
          <cell r="D1358" t="str">
            <v>Mona Mohamed</v>
          </cell>
        </row>
        <row r="1359">
          <cell r="A1359" t="str">
            <v>Pinnacle k - المخزن</v>
          </cell>
          <cell r="B1359" t="str">
            <v>Horeca Smart</v>
          </cell>
          <cell r="C1359" t="str">
            <v xml:space="preserve">عملاء كاش </v>
          </cell>
          <cell r="D1359" t="str">
            <v>Mona Mohamed</v>
          </cell>
        </row>
        <row r="1360">
          <cell r="A1360" t="str">
            <v>Piri flame</v>
          </cell>
          <cell r="B1360" t="str">
            <v>Horeca Smart</v>
          </cell>
          <cell r="C1360" t="str">
            <v xml:space="preserve">عملاء كاش </v>
          </cell>
          <cell r="D1360" t="str">
            <v>Rasha Hassan</v>
          </cell>
        </row>
        <row r="1361">
          <cell r="A1361" t="str">
            <v>Pizza billa</v>
          </cell>
          <cell r="B1361" t="str">
            <v>Horeca Smart</v>
          </cell>
          <cell r="C1361" t="str">
            <v xml:space="preserve">عملاء كاش </v>
          </cell>
          <cell r="D1361" t="str">
            <v>Rasha Hassan</v>
          </cell>
        </row>
        <row r="1362">
          <cell r="A1362" t="str">
            <v>Play point</v>
          </cell>
          <cell r="B1362" t="str">
            <v>Horeca Smart</v>
          </cell>
          <cell r="C1362" t="str">
            <v xml:space="preserve">عملاء كاش </v>
          </cell>
          <cell r="D1362" t="str">
            <v>Naden Amgad</v>
          </cell>
        </row>
        <row r="1363">
          <cell r="A1363" t="str">
            <v>PlayStation -Al Muqattam</v>
          </cell>
          <cell r="B1363" t="str">
            <v>Horeca Smart</v>
          </cell>
          <cell r="C1363" t="str">
            <v xml:space="preserve">عملاء كاش </v>
          </cell>
          <cell r="D1363" t="str">
            <v>Donia Khaled</v>
          </cell>
        </row>
        <row r="1364">
          <cell r="A1364" t="str">
            <v>Pontili Cafe</v>
          </cell>
          <cell r="B1364" t="str">
            <v>Horeca Smart</v>
          </cell>
          <cell r="C1364" t="str">
            <v xml:space="preserve">عملاء كاش </v>
          </cell>
          <cell r="D1364" t="str">
            <v>Mona Mohamed</v>
          </cell>
        </row>
        <row r="1365">
          <cell r="A1365" t="str">
            <v>Popastation Cafe</v>
          </cell>
          <cell r="B1365" t="str">
            <v>Horeca Smart</v>
          </cell>
          <cell r="C1365" t="str">
            <v xml:space="preserve">عملاء كاش </v>
          </cell>
          <cell r="D1365" t="str">
            <v>Naden Amgad</v>
          </cell>
        </row>
        <row r="1366">
          <cell r="A1366" t="str">
            <v>Porta D'oro</v>
          </cell>
          <cell r="B1366" t="str">
            <v>Horeca Smart</v>
          </cell>
          <cell r="C1366" t="str">
            <v xml:space="preserve">عملاء كاش </v>
          </cell>
          <cell r="D1366" t="str">
            <v>Mona Mohamed</v>
          </cell>
        </row>
        <row r="1367">
          <cell r="A1367" t="str">
            <v>Porta D'oro, Porta D'oro, التجمع</v>
          </cell>
          <cell r="B1367" t="str">
            <v>Horeca Smart</v>
          </cell>
          <cell r="C1367" t="str">
            <v xml:space="preserve">عملاء كاش </v>
          </cell>
          <cell r="D1367" t="str">
            <v>Mona Mohamed</v>
          </cell>
        </row>
        <row r="1368">
          <cell r="A1368" t="str">
            <v>Porta D'oro, Porta D'oro, الدقي</v>
          </cell>
          <cell r="B1368" t="str">
            <v>Horeca Smart</v>
          </cell>
          <cell r="C1368" t="str">
            <v xml:space="preserve">عملاء كاش </v>
          </cell>
          <cell r="D1368" t="str">
            <v>Naden Amgad</v>
          </cell>
        </row>
        <row r="1369">
          <cell r="A1369" t="str">
            <v>Porta D'oro, Porta D'oro, الشرابية</v>
          </cell>
          <cell r="B1369" t="str">
            <v>Horeca Smart</v>
          </cell>
          <cell r="C1369" t="str">
            <v xml:space="preserve">عملاء كاش </v>
          </cell>
          <cell r="D1369" t="str">
            <v>Mona Mohamed</v>
          </cell>
        </row>
        <row r="1370">
          <cell r="A1370" t="str">
            <v>Pouchkine Coffee house</v>
          </cell>
          <cell r="B1370" t="str">
            <v>Horeca Smart</v>
          </cell>
          <cell r="C1370" t="str">
            <v xml:space="preserve">عملاء كاش </v>
          </cell>
          <cell r="D1370" t="str">
            <v>Reham Maher</v>
          </cell>
        </row>
        <row r="1371">
          <cell r="A1371" t="str">
            <v>Primo pizza</v>
          </cell>
          <cell r="B1371" t="str">
            <v>Horeca Smart</v>
          </cell>
          <cell r="C1371" t="str">
            <v xml:space="preserve">عملاء كاش </v>
          </cell>
          <cell r="D1371" t="str">
            <v>Mona Mohamed</v>
          </cell>
        </row>
        <row r="1372">
          <cell r="A1372" t="str">
            <v>Princess Cafe, Princess Cafe, Nasr City</v>
          </cell>
          <cell r="B1372" t="str">
            <v>Horeca Smart</v>
          </cell>
          <cell r="C1372" t="str">
            <v xml:space="preserve">عملاء كاش </v>
          </cell>
          <cell r="D1372" t="str">
            <v>Reham Maher</v>
          </cell>
        </row>
        <row r="1373">
          <cell r="A1373" t="str">
            <v>Princess Cafe, Princess Cafe, Tagamoa</v>
          </cell>
          <cell r="B1373" t="str">
            <v>Horeca Smart</v>
          </cell>
          <cell r="C1373" t="str">
            <v xml:space="preserve">عملاء كاش </v>
          </cell>
          <cell r="D1373" t="str">
            <v>Mona Mohamed</v>
          </cell>
        </row>
        <row r="1374">
          <cell r="A1374" t="str">
            <v>QHH Cafe</v>
          </cell>
          <cell r="B1374" t="str">
            <v>Horeca Smart</v>
          </cell>
          <cell r="C1374" t="str">
            <v xml:space="preserve">عملاء كاش </v>
          </cell>
          <cell r="D1374" t="str">
            <v>Mona Mohamed</v>
          </cell>
        </row>
        <row r="1375">
          <cell r="A1375" t="str">
            <v>Qahotna</v>
          </cell>
          <cell r="B1375" t="str">
            <v>Horeca Smart</v>
          </cell>
          <cell r="C1375" t="str">
            <v xml:space="preserve">عملاء كاش </v>
          </cell>
          <cell r="D1375" t="str">
            <v>Mona Mohamed</v>
          </cell>
        </row>
        <row r="1376">
          <cell r="A1376" t="str">
            <v>Quick</v>
          </cell>
          <cell r="B1376" t="str">
            <v>Horeca Smart</v>
          </cell>
          <cell r="C1376" t="str">
            <v xml:space="preserve">عملاء كاش </v>
          </cell>
          <cell r="D1376" t="str">
            <v>Reham Maher</v>
          </cell>
        </row>
        <row r="1377">
          <cell r="A1377" t="str">
            <v>Qzone cafe</v>
          </cell>
          <cell r="B1377" t="str">
            <v>Horeca Smart</v>
          </cell>
          <cell r="C1377" t="str">
            <v xml:space="preserve">عملاء كاش </v>
          </cell>
          <cell r="D1377" t="str">
            <v>Mona Mohamed</v>
          </cell>
        </row>
        <row r="1378">
          <cell r="A1378" t="str">
            <v>RK cafe</v>
          </cell>
          <cell r="B1378" t="str">
            <v>Horeca Smart</v>
          </cell>
          <cell r="C1378" t="str">
            <v xml:space="preserve">عملاء كاش </v>
          </cell>
          <cell r="D1378" t="str">
            <v>Reham Maher</v>
          </cell>
        </row>
        <row r="1379">
          <cell r="A1379" t="str">
            <v>Ramadan El-Taher</v>
          </cell>
          <cell r="C1379" t="str">
            <v>موظفين</v>
          </cell>
        </row>
        <row r="1380">
          <cell r="A1380" t="str">
            <v>Ramadan Hassanin</v>
          </cell>
          <cell r="B1380" t="str">
            <v>Horeca Smart</v>
          </cell>
          <cell r="C1380" t="str">
            <v xml:space="preserve">عملاء كاش </v>
          </cell>
          <cell r="D1380" t="str">
            <v>Mona Mohamed</v>
          </cell>
        </row>
        <row r="1381">
          <cell r="A1381" t="str">
            <v>Rami Ali</v>
          </cell>
          <cell r="C1381" t="str">
            <v>موظفين</v>
          </cell>
        </row>
        <row r="1382">
          <cell r="A1382" t="str">
            <v>Rania</v>
          </cell>
        </row>
        <row r="1383">
          <cell r="A1383" t="str">
            <v>Rasha Hassan</v>
          </cell>
          <cell r="C1383" t="str">
            <v>موظفين</v>
          </cell>
        </row>
        <row r="1384">
          <cell r="A1384" t="str">
            <v>Red elephant res</v>
          </cell>
          <cell r="B1384" t="str">
            <v>Horeca Smart</v>
          </cell>
          <cell r="C1384" t="str">
            <v xml:space="preserve">عملاء كاش </v>
          </cell>
          <cell r="D1384" t="str">
            <v>Naden Amgad</v>
          </cell>
        </row>
        <row r="1385">
          <cell r="A1385" t="str">
            <v>Refill</v>
          </cell>
          <cell r="B1385" t="str">
            <v>Horeca Smart</v>
          </cell>
          <cell r="C1385" t="str">
            <v xml:space="preserve">عملاء كاش </v>
          </cell>
          <cell r="D1385" t="str">
            <v>Mona Mohamed</v>
          </cell>
        </row>
        <row r="1386">
          <cell r="A1386" t="str">
            <v>Regency cafe</v>
          </cell>
          <cell r="B1386" t="str">
            <v>Horeca Smart</v>
          </cell>
          <cell r="C1386" t="str">
            <v xml:space="preserve">عملاء كاش </v>
          </cell>
          <cell r="D1386" t="str">
            <v>Mona Mohamed</v>
          </cell>
        </row>
        <row r="1387">
          <cell r="A1387" t="str">
            <v>Reham Maher</v>
          </cell>
          <cell r="C1387" t="str">
            <v>موظفين</v>
          </cell>
        </row>
        <row r="1388">
          <cell r="A1388" t="str">
            <v>Reham Maher</v>
          </cell>
          <cell r="C1388" t="str">
            <v>موظفين</v>
          </cell>
          <cell r="D1388" t="str">
            <v>Reham Maher</v>
          </cell>
        </row>
        <row r="1389">
          <cell r="A1389" t="str">
            <v>Remal wellness resort</v>
          </cell>
          <cell r="B1389" t="str">
            <v>Horeca Smart</v>
          </cell>
          <cell r="C1389" t="str">
            <v xml:space="preserve">عملاء كاش </v>
          </cell>
          <cell r="D1389" t="str">
            <v>Mona Mohamed</v>
          </cell>
        </row>
        <row r="1390">
          <cell r="A1390" t="str">
            <v>Remon</v>
          </cell>
        </row>
        <row r="1391">
          <cell r="A1391" t="str">
            <v>Remonda Romany</v>
          </cell>
          <cell r="C1391" t="str">
            <v>موظفين</v>
          </cell>
        </row>
        <row r="1392">
          <cell r="A1392" t="str">
            <v>Retrovo Studio</v>
          </cell>
          <cell r="B1392" t="str">
            <v>Horeca Smart</v>
          </cell>
          <cell r="C1392" t="str">
            <v xml:space="preserve">عملاء كاش </v>
          </cell>
          <cell r="D1392" t="str">
            <v>Reham Maher</v>
          </cell>
        </row>
        <row r="1393">
          <cell r="A1393" t="str">
            <v>Revive</v>
          </cell>
          <cell r="B1393" t="str">
            <v>Horeca Smart</v>
          </cell>
          <cell r="C1393" t="str">
            <v xml:space="preserve">عملاء كاش </v>
          </cell>
          <cell r="D1393" t="str">
            <v>Mona Mohamed</v>
          </cell>
        </row>
        <row r="1394">
          <cell r="A1394" t="str">
            <v>Rino's Cafe</v>
          </cell>
          <cell r="B1394" t="str">
            <v>Horeca Smart</v>
          </cell>
          <cell r="C1394" t="str">
            <v xml:space="preserve">عملاء كاش </v>
          </cell>
          <cell r="D1394" t="str">
            <v>Mona Mohamed</v>
          </cell>
        </row>
        <row r="1395">
          <cell r="A1395" t="str">
            <v>Rio</v>
          </cell>
          <cell r="B1395" t="str">
            <v>Horeca Smart</v>
          </cell>
          <cell r="C1395" t="str">
            <v xml:space="preserve">عملاء كاش </v>
          </cell>
          <cell r="D1395" t="str">
            <v>Mona Mohamed</v>
          </cell>
        </row>
        <row r="1396">
          <cell r="A1396" t="str">
            <v>Rio, Rio, Rio cafe</v>
          </cell>
          <cell r="B1396" t="str">
            <v>Horeca Smart</v>
          </cell>
          <cell r="C1396" t="str">
            <v xml:space="preserve">عملاء كاش </v>
          </cell>
          <cell r="D1396" t="str">
            <v>Mona Mohamed</v>
          </cell>
        </row>
        <row r="1397">
          <cell r="A1397" t="str">
            <v>Rio, Rio, Rio's Pizza</v>
          </cell>
          <cell r="B1397" t="str">
            <v>Horeca Smart</v>
          </cell>
          <cell r="C1397" t="str">
            <v xml:space="preserve">عملاء كاش </v>
          </cell>
          <cell r="D1397" t="str">
            <v>Mona Mohamed</v>
          </cell>
        </row>
        <row r="1398">
          <cell r="A1398" t="str">
            <v>Rista Cafe</v>
          </cell>
          <cell r="B1398" t="str">
            <v>Horeca Smart</v>
          </cell>
          <cell r="C1398" t="str">
            <v xml:space="preserve">عملاء كاش </v>
          </cell>
          <cell r="D1398" t="str">
            <v>Naden Amgad</v>
          </cell>
        </row>
        <row r="1399">
          <cell r="A1399" t="str">
            <v>Rits</v>
          </cell>
          <cell r="B1399" t="str">
            <v>Horeca Smart</v>
          </cell>
          <cell r="C1399" t="str">
            <v xml:space="preserve">عملاء كاش </v>
          </cell>
          <cell r="D1399" t="str">
            <v>Mona Mohamed</v>
          </cell>
        </row>
        <row r="1400">
          <cell r="A1400" t="str">
            <v>Rits, Rits, Aroma</v>
          </cell>
          <cell r="B1400" t="str">
            <v>Horeca Smart</v>
          </cell>
          <cell r="C1400" t="str">
            <v xml:space="preserve">عملاء كاش </v>
          </cell>
          <cell r="D1400" t="str">
            <v>Mona Mohamed</v>
          </cell>
        </row>
        <row r="1401">
          <cell r="A1401" t="str">
            <v>Rits, Rits, Tagamoa</v>
          </cell>
          <cell r="B1401" t="str">
            <v>Horeca Smart</v>
          </cell>
          <cell r="C1401" t="str">
            <v xml:space="preserve">عملاء كاش </v>
          </cell>
          <cell r="D1401" t="str">
            <v>Mona Mohamed</v>
          </cell>
        </row>
        <row r="1402">
          <cell r="A1402" t="str">
            <v>Riu cafe</v>
          </cell>
          <cell r="B1402" t="str">
            <v>Horeca Smart</v>
          </cell>
          <cell r="C1402" t="str">
            <v xml:space="preserve">عملاء كاش </v>
          </cell>
          <cell r="D1402" t="str">
            <v>Reham Maher</v>
          </cell>
        </row>
        <row r="1403">
          <cell r="A1403" t="str">
            <v>Rivo Cafe - مدينة نصر</v>
          </cell>
          <cell r="B1403" t="str">
            <v>Horeca Smart</v>
          </cell>
          <cell r="C1403" t="str">
            <v xml:space="preserve">عملاء كاش </v>
          </cell>
          <cell r="D1403" t="str">
            <v>Reham Maher</v>
          </cell>
        </row>
        <row r="1404">
          <cell r="A1404" t="str">
            <v>Rocket Cafe</v>
          </cell>
          <cell r="B1404" t="str">
            <v>Horeca Smart</v>
          </cell>
          <cell r="C1404" t="str">
            <v xml:space="preserve">عملاء كاش </v>
          </cell>
          <cell r="D1404" t="str">
            <v>Reham Maher</v>
          </cell>
        </row>
        <row r="1405">
          <cell r="A1405" t="str">
            <v>Romantic cafe</v>
          </cell>
          <cell r="B1405" t="str">
            <v>Horeca Smart</v>
          </cell>
          <cell r="C1405" t="str">
            <v xml:space="preserve">عملاء كاش </v>
          </cell>
          <cell r="D1405" t="str">
            <v>Mona Mohamed</v>
          </cell>
        </row>
        <row r="1406">
          <cell r="A1406" t="str">
            <v>Rose</v>
          </cell>
          <cell r="B1406" t="str">
            <v>Horeca Smart</v>
          </cell>
          <cell r="C1406" t="str">
            <v xml:space="preserve">عملاء كاش </v>
          </cell>
          <cell r="D1406" t="str">
            <v>Naden Amgad</v>
          </cell>
        </row>
        <row r="1407">
          <cell r="A1407" t="str">
            <v>Rotana Cafe</v>
          </cell>
          <cell r="B1407" t="str">
            <v>Horeca Smart</v>
          </cell>
          <cell r="C1407" t="str">
            <v xml:space="preserve">عملاء كاش </v>
          </cell>
          <cell r="D1407" t="str">
            <v>Mona Mohamed</v>
          </cell>
        </row>
        <row r="1408">
          <cell r="A1408" t="str">
            <v>Rox</v>
          </cell>
          <cell r="B1408" t="str">
            <v>Horeca Smart</v>
          </cell>
          <cell r="C1408" t="str">
            <v xml:space="preserve">عملاء كاش </v>
          </cell>
          <cell r="D1408" t="str">
            <v>Reham Maher</v>
          </cell>
        </row>
        <row r="1409">
          <cell r="A1409" t="str">
            <v>Ruchi Desserts&amp;bakery</v>
          </cell>
          <cell r="B1409" t="str">
            <v>Horeca Smart</v>
          </cell>
          <cell r="C1409" t="str">
            <v xml:space="preserve">عملاء كاش </v>
          </cell>
          <cell r="D1409" t="str">
            <v>Mona Mohamed</v>
          </cell>
        </row>
        <row r="1410">
          <cell r="A1410" t="str">
            <v>S2H Cafe&amp;Restaurant</v>
          </cell>
          <cell r="B1410" t="str">
            <v>Horeca Smart</v>
          </cell>
          <cell r="C1410" t="str">
            <v xml:space="preserve">عملاء كاش </v>
          </cell>
          <cell r="D1410" t="str">
            <v>Naden Amgad</v>
          </cell>
        </row>
        <row r="1411">
          <cell r="A1411" t="str">
            <v>Sabreen Ragab</v>
          </cell>
          <cell r="C1411" t="str">
            <v>موظفين</v>
          </cell>
        </row>
        <row r="1412">
          <cell r="A1412" t="str">
            <v>Saher</v>
          </cell>
        </row>
        <row r="1413">
          <cell r="A1413" t="str">
            <v>Said Gamal_احمد</v>
          </cell>
        </row>
        <row r="1414">
          <cell r="A1414" t="str">
            <v>Saif Alislam</v>
          </cell>
        </row>
        <row r="1415">
          <cell r="A1415" t="str">
            <v>Sakura sushi</v>
          </cell>
          <cell r="B1415" t="str">
            <v>Horeca Smart</v>
          </cell>
          <cell r="C1415" t="str">
            <v xml:space="preserve">عملاء كاش </v>
          </cell>
          <cell r="D1415" t="str">
            <v>Mona Mohamed</v>
          </cell>
        </row>
        <row r="1416">
          <cell r="A1416" t="str">
            <v>Salah Sayed</v>
          </cell>
          <cell r="C1416" t="str">
            <v>موظفين</v>
          </cell>
        </row>
        <row r="1417">
          <cell r="A1417" t="str">
            <v>Salah Sayed</v>
          </cell>
          <cell r="C1417" t="str">
            <v>موظفين</v>
          </cell>
        </row>
        <row r="1418">
          <cell r="A1418" t="str">
            <v>Salma Ahmed</v>
          </cell>
          <cell r="C1418" t="str">
            <v>موظفين</v>
          </cell>
        </row>
        <row r="1419">
          <cell r="A1419" t="str">
            <v>Salsa Mista Cafe&amp;Restaurant</v>
          </cell>
          <cell r="B1419" t="str">
            <v>Horeca Smart</v>
          </cell>
          <cell r="C1419" t="str">
            <v xml:space="preserve">عملاء كاش </v>
          </cell>
          <cell r="D1419" t="str">
            <v>Reham Maher</v>
          </cell>
        </row>
        <row r="1420">
          <cell r="A1420" t="str">
            <v>Samar Mohamed</v>
          </cell>
          <cell r="C1420" t="str">
            <v>موظفين</v>
          </cell>
        </row>
        <row r="1421">
          <cell r="A1421" t="str">
            <v>Samar Mohamed 2</v>
          </cell>
        </row>
        <row r="1422">
          <cell r="A1422" t="str">
            <v>Sameh</v>
          </cell>
        </row>
        <row r="1423">
          <cell r="A1423" t="str">
            <v>Sameh Saeed</v>
          </cell>
          <cell r="C1423" t="str">
            <v>موظفين</v>
          </cell>
        </row>
        <row r="1424">
          <cell r="A1424" t="str">
            <v>Samosa Restaurant</v>
          </cell>
          <cell r="B1424" t="str">
            <v>Horeca Smart</v>
          </cell>
          <cell r="C1424" t="str">
            <v xml:space="preserve">عملاء كاش </v>
          </cell>
          <cell r="D1424" t="str">
            <v>Reham Maher</v>
          </cell>
        </row>
        <row r="1425">
          <cell r="A1425" t="str">
            <v>Samosa Restaurant, Samosa Restaurant, النزهة</v>
          </cell>
          <cell r="B1425" t="str">
            <v>Horeca Smart</v>
          </cell>
          <cell r="C1425" t="str">
            <v xml:space="preserve">عملاء كاش </v>
          </cell>
          <cell r="D1425" t="str">
            <v>Mona Mohamed</v>
          </cell>
        </row>
        <row r="1426">
          <cell r="A1426" t="str">
            <v>Samosa Restaurant, Samosa Restaurant, مدينة نصر</v>
          </cell>
          <cell r="B1426" t="str">
            <v>Horeca Smart</v>
          </cell>
          <cell r="C1426" t="str">
            <v xml:space="preserve">عملاء كاش </v>
          </cell>
          <cell r="D1426" t="str">
            <v>Reham Maher</v>
          </cell>
        </row>
        <row r="1427">
          <cell r="A1427" t="str">
            <v>Sanky speciality Coffee</v>
          </cell>
          <cell r="B1427" t="str">
            <v>Horeca Smart</v>
          </cell>
          <cell r="C1427" t="str">
            <v xml:space="preserve">عملاء كاش </v>
          </cell>
          <cell r="D1427" t="str">
            <v>Reham Maher</v>
          </cell>
        </row>
        <row r="1428">
          <cell r="A1428" t="str">
            <v>Santa lounge, Santa lounge-شبرا</v>
          </cell>
          <cell r="B1428" t="str">
            <v>Horeca Smart</v>
          </cell>
          <cell r="C1428" t="str">
            <v xml:space="preserve">عملاء كاش </v>
          </cell>
          <cell r="D1428" t="str">
            <v>Naden Amgad</v>
          </cell>
        </row>
        <row r="1429">
          <cell r="A1429" t="str">
            <v>Santa lounge, santa lounge -مدينة نصر</v>
          </cell>
          <cell r="B1429" t="str">
            <v>Horeca Smart</v>
          </cell>
          <cell r="C1429" t="str">
            <v xml:space="preserve">عملاء كاش </v>
          </cell>
          <cell r="D1429" t="str">
            <v>Naden Amgad</v>
          </cell>
        </row>
        <row r="1430">
          <cell r="A1430" t="str">
            <v>Sarah</v>
          </cell>
        </row>
        <row r="1431">
          <cell r="A1431" t="str">
            <v>Saski Sushi</v>
          </cell>
          <cell r="B1431" t="str">
            <v>Horeca Smart</v>
          </cell>
          <cell r="C1431" t="str">
            <v xml:space="preserve">عملاء كاش </v>
          </cell>
          <cell r="D1431" t="str">
            <v>Donia Khaled</v>
          </cell>
        </row>
        <row r="1432">
          <cell r="A1432" t="str">
            <v>Sayed el-araby</v>
          </cell>
          <cell r="C1432" t="str">
            <v>موظفين</v>
          </cell>
        </row>
        <row r="1433">
          <cell r="A1433" t="str">
            <v>Scent Of Koffee Cafe</v>
          </cell>
          <cell r="B1433" t="str">
            <v>Horeca Smart</v>
          </cell>
          <cell r="C1433" t="str">
            <v xml:space="preserve">عملاء كاش </v>
          </cell>
          <cell r="D1433" t="str">
            <v>Naden Amgad</v>
          </cell>
        </row>
        <row r="1434">
          <cell r="A1434" t="str">
            <v>Schatz Social House</v>
          </cell>
          <cell r="B1434" t="str">
            <v>Horeca Smart</v>
          </cell>
          <cell r="C1434" t="str">
            <v xml:space="preserve">عملاء كاش </v>
          </cell>
          <cell r="D1434" t="str">
            <v>Mona Mohamed</v>
          </cell>
        </row>
        <row r="1435">
          <cell r="A1435" t="str">
            <v>Scoops Bakery</v>
          </cell>
          <cell r="B1435" t="str">
            <v>Horeca Smart</v>
          </cell>
          <cell r="C1435" t="str">
            <v xml:space="preserve">عملاء كاش </v>
          </cell>
          <cell r="D1435" t="str">
            <v>Naden Amgad</v>
          </cell>
        </row>
        <row r="1436">
          <cell r="A1436" t="str">
            <v>Season Zone 2</v>
          </cell>
          <cell r="B1436" t="str">
            <v>Horeca Smart</v>
          </cell>
          <cell r="C1436" t="str">
            <v xml:space="preserve">عملاء كاش </v>
          </cell>
          <cell r="D1436" t="str">
            <v>Reham Maher</v>
          </cell>
        </row>
        <row r="1437">
          <cell r="A1437" t="str">
            <v>Secret Society Burger, Secret Society Burger, 6 اكتوبر</v>
          </cell>
          <cell r="C1437" t="str">
            <v xml:space="preserve">عملاء كاش </v>
          </cell>
          <cell r="D1437" t="str">
            <v>Reham Maher</v>
          </cell>
        </row>
        <row r="1438">
          <cell r="A1438" t="str">
            <v>Secret Society Burger, Secret Society Burger, التجمع</v>
          </cell>
          <cell r="C1438" t="str">
            <v xml:space="preserve">عملاء كاش </v>
          </cell>
          <cell r="D1438" t="str">
            <v>Reham Maher</v>
          </cell>
        </row>
        <row r="1439">
          <cell r="A1439" t="str">
            <v>Sehraia cafe</v>
          </cell>
          <cell r="B1439" t="str">
            <v>Horeca Smart</v>
          </cell>
          <cell r="C1439" t="str">
            <v xml:space="preserve">عملاء كاش </v>
          </cell>
          <cell r="D1439" t="str">
            <v>Mona Mohamed</v>
          </cell>
        </row>
        <row r="1440">
          <cell r="A1440" t="str">
            <v>Serotonin Cafe</v>
          </cell>
          <cell r="B1440" t="str">
            <v>Horeca Smart</v>
          </cell>
          <cell r="C1440" t="str">
            <v xml:space="preserve">عملاء كاش </v>
          </cell>
          <cell r="D1440" t="str">
            <v>Lames Magdy</v>
          </cell>
        </row>
        <row r="1441">
          <cell r="A1441" t="str">
            <v>SevenTeen</v>
          </cell>
          <cell r="B1441" t="str">
            <v>Horeca Smart</v>
          </cell>
          <cell r="C1441" t="str">
            <v xml:space="preserve">عملاء كاش </v>
          </cell>
          <cell r="D1441" t="str">
            <v>Mona Mohamed</v>
          </cell>
        </row>
        <row r="1442">
          <cell r="A1442" t="str">
            <v>Shady Mahmoud</v>
          </cell>
          <cell r="C1442" t="str">
            <v>موظفين</v>
          </cell>
        </row>
        <row r="1443">
          <cell r="A1443" t="str">
            <v>Shaimaa Mahmoud</v>
          </cell>
          <cell r="C1443" t="str">
            <v>موظفين</v>
          </cell>
        </row>
        <row r="1444">
          <cell r="A1444" t="str">
            <v>Shantung Cafe&amp;Restaurant</v>
          </cell>
          <cell r="B1444" t="str">
            <v>Horeca Smart</v>
          </cell>
          <cell r="C1444" t="str">
            <v xml:space="preserve">عملاء كاش </v>
          </cell>
          <cell r="D1444" t="str">
            <v>Reham Maher</v>
          </cell>
        </row>
        <row r="1445">
          <cell r="A1445" t="str">
            <v>Shawermer BBQ</v>
          </cell>
          <cell r="B1445" t="str">
            <v>Horeca Smart</v>
          </cell>
          <cell r="C1445" t="str">
            <v xml:space="preserve">عملاء كاش </v>
          </cell>
          <cell r="D1445" t="str">
            <v>Reham Maher</v>
          </cell>
        </row>
        <row r="1446">
          <cell r="A1446" t="str">
            <v>Sheikh El-Din</v>
          </cell>
          <cell r="C1446" t="str">
            <v>موظفين</v>
          </cell>
          <cell r="D1446" t="str">
            <v>Abdullah Mahmoud</v>
          </cell>
        </row>
        <row r="1447">
          <cell r="A1447" t="str">
            <v>Shemos Delights</v>
          </cell>
          <cell r="B1447" t="str">
            <v>Horeca Smart</v>
          </cell>
          <cell r="C1447" t="str">
            <v xml:space="preserve">عملاء كاش </v>
          </cell>
          <cell r="D1447" t="str">
            <v>Mona Mohamed</v>
          </cell>
        </row>
        <row r="1448">
          <cell r="A1448" t="str">
            <v>Sherif Mamhoud</v>
          </cell>
          <cell r="C1448" t="str">
            <v>موظفين</v>
          </cell>
        </row>
        <row r="1449">
          <cell r="A1449" t="str">
            <v>Shoot Bun</v>
          </cell>
          <cell r="B1449" t="str">
            <v>Horeca Smart</v>
          </cell>
          <cell r="C1449" t="str">
            <v xml:space="preserve">عملاء كاش </v>
          </cell>
          <cell r="D1449" t="str">
            <v>Mona Mohamed</v>
          </cell>
        </row>
        <row r="1450">
          <cell r="A1450" t="str">
            <v>Shorouk khaled</v>
          </cell>
          <cell r="C1450" t="str">
            <v>موظفين</v>
          </cell>
        </row>
        <row r="1451">
          <cell r="A1451" t="str">
            <v>Shrimpizer Restaurant</v>
          </cell>
          <cell r="B1451" t="str">
            <v>Horeca Smart</v>
          </cell>
          <cell r="C1451" t="str">
            <v xml:space="preserve">عملاء كاش </v>
          </cell>
          <cell r="D1451" t="str">
            <v>Reham Maher</v>
          </cell>
        </row>
        <row r="1452">
          <cell r="A1452" t="str">
            <v>Shusha Cafe</v>
          </cell>
          <cell r="B1452" t="str">
            <v>Horeca Smart</v>
          </cell>
          <cell r="C1452" t="str">
            <v xml:space="preserve">عملاء كاش </v>
          </cell>
          <cell r="D1452" t="str">
            <v>Reham Maher</v>
          </cell>
        </row>
        <row r="1453">
          <cell r="A1453" t="str">
            <v>Silk road for import and export</v>
          </cell>
          <cell r="B1453" t="str">
            <v>MAS</v>
          </cell>
          <cell r="C1453" t="str">
            <v xml:space="preserve">عملاء كاش </v>
          </cell>
          <cell r="D1453" t="str">
            <v>Rasha Hassan</v>
          </cell>
        </row>
        <row r="1454">
          <cell r="A1454" t="str">
            <v>Sky 9 cafe</v>
          </cell>
          <cell r="B1454" t="str">
            <v>Horeca Smart</v>
          </cell>
          <cell r="C1454" t="str">
            <v xml:space="preserve">عملاء كاش </v>
          </cell>
          <cell r="D1454" t="str">
            <v>Mona Mohamed</v>
          </cell>
        </row>
        <row r="1455">
          <cell r="A1455" t="str">
            <v>Smash - Da Centro Mall</v>
          </cell>
          <cell r="B1455" t="str">
            <v>Horeca Smart</v>
          </cell>
          <cell r="C1455" t="str">
            <v xml:space="preserve">عملاء كاش </v>
          </cell>
          <cell r="D1455" t="str">
            <v>Reham Maher</v>
          </cell>
        </row>
        <row r="1456">
          <cell r="A1456" t="str">
            <v>Smash Man, Smash Man, الشروق</v>
          </cell>
          <cell r="B1456" t="str">
            <v>Horeca Smart</v>
          </cell>
          <cell r="C1456" t="str">
            <v xml:space="preserve">عملاء كاش </v>
          </cell>
          <cell r="D1456" t="str">
            <v>Reham Maher</v>
          </cell>
        </row>
        <row r="1457">
          <cell r="A1457" t="str">
            <v>Smash Man, Smash Man, شيراتون</v>
          </cell>
          <cell r="B1457" t="str">
            <v>Horeca Smart</v>
          </cell>
          <cell r="C1457" t="str">
            <v xml:space="preserve">عملاء كاش </v>
          </cell>
          <cell r="D1457" t="str">
            <v>Reham Maher</v>
          </cell>
        </row>
        <row r="1458">
          <cell r="A1458" t="str">
            <v>SmashDown Burger</v>
          </cell>
          <cell r="B1458" t="str">
            <v>Horeca Smart</v>
          </cell>
          <cell r="C1458" t="str">
            <v xml:space="preserve">عملاء كاش </v>
          </cell>
          <cell r="D1458" t="str">
            <v>Mona Mohamed</v>
          </cell>
        </row>
        <row r="1459">
          <cell r="A1459" t="str">
            <v>Smokey Burger</v>
          </cell>
          <cell r="B1459" t="str">
            <v>Horeca Smart</v>
          </cell>
          <cell r="C1459" t="str">
            <v xml:space="preserve">عملاء كاش </v>
          </cell>
          <cell r="D1459" t="str">
            <v>Naden Amgad</v>
          </cell>
        </row>
        <row r="1460">
          <cell r="A1460" t="str">
            <v>Snack Bites</v>
          </cell>
          <cell r="B1460" t="str">
            <v>Horeca Smart</v>
          </cell>
          <cell r="C1460" t="str">
            <v xml:space="preserve">عملاء كاش </v>
          </cell>
          <cell r="D1460" t="str">
            <v>Mona Mohamed</v>
          </cell>
        </row>
        <row r="1461">
          <cell r="A1461" t="str">
            <v>Snack in</v>
          </cell>
          <cell r="B1461" t="str">
            <v>Horeca Smart</v>
          </cell>
          <cell r="C1461" t="str">
            <v xml:space="preserve">عملاء كاش </v>
          </cell>
          <cell r="D1461" t="str">
            <v>Mona Mohamed</v>
          </cell>
        </row>
        <row r="1462">
          <cell r="A1462" t="str">
            <v>Sobhy Elsadek</v>
          </cell>
          <cell r="C1462" t="str">
            <v>موظفين</v>
          </cell>
          <cell r="D1462" t="str">
            <v>Abdullah Mahmoud</v>
          </cell>
        </row>
        <row r="1463">
          <cell r="A1463" t="str">
            <v>Sokar barra Cafe</v>
          </cell>
          <cell r="B1463" t="str">
            <v>Horeca Smart</v>
          </cell>
          <cell r="C1463" t="str">
            <v xml:space="preserve">عملاء كاش </v>
          </cell>
          <cell r="D1463" t="str">
            <v>Mona Mohamed</v>
          </cell>
        </row>
        <row r="1464">
          <cell r="A1464" t="str">
            <v>Spicy Youngers</v>
          </cell>
          <cell r="B1464" t="str">
            <v>Horeca Smart</v>
          </cell>
          <cell r="C1464" t="str">
            <v xml:space="preserve">عملاء كاش </v>
          </cell>
          <cell r="D1464" t="str">
            <v>Reham Maher</v>
          </cell>
        </row>
        <row r="1465">
          <cell r="A1465" t="str">
            <v>Spotaia</v>
          </cell>
          <cell r="B1465" t="str">
            <v>Horeca Smart</v>
          </cell>
          <cell r="C1465" t="str">
            <v xml:space="preserve">عملاء كاش </v>
          </cell>
          <cell r="D1465" t="str">
            <v>Mona Mohamed</v>
          </cell>
        </row>
        <row r="1466">
          <cell r="A1466" t="str">
            <v>Spotaia, Spotaia, المقطم</v>
          </cell>
          <cell r="B1466" t="str">
            <v>Horeca Smart</v>
          </cell>
          <cell r="C1466" t="str">
            <v xml:space="preserve">عملاء كاش </v>
          </cell>
          <cell r="D1466" t="str">
            <v>Mona Mohamed</v>
          </cell>
        </row>
        <row r="1467">
          <cell r="A1467" t="str">
            <v>Spotaia, Spotaia, عين شمس</v>
          </cell>
          <cell r="B1467" t="str">
            <v>Horeca Smart</v>
          </cell>
          <cell r="C1467" t="str">
            <v xml:space="preserve">عملاء كاش </v>
          </cell>
          <cell r="D1467" t="str">
            <v>Mona Mohamed</v>
          </cell>
        </row>
        <row r="1468">
          <cell r="A1468" t="str">
            <v>Sprint mart</v>
          </cell>
          <cell r="B1468" t="str">
            <v>Horeca Smart</v>
          </cell>
          <cell r="C1468" t="str">
            <v xml:space="preserve">عملاء كاش </v>
          </cell>
          <cell r="D1468" t="str">
            <v>Naden Amgad</v>
          </cell>
        </row>
        <row r="1469">
          <cell r="A1469" t="str">
            <v>Star fruit</v>
          </cell>
          <cell r="B1469" t="str">
            <v>Horeca Smart</v>
          </cell>
          <cell r="C1469" t="str">
            <v xml:space="preserve">عملاء كاش </v>
          </cell>
          <cell r="D1469" t="str">
            <v>Reham Maher</v>
          </cell>
        </row>
        <row r="1470">
          <cell r="A1470" t="str">
            <v>Steve's</v>
          </cell>
          <cell r="B1470" t="str">
            <v>Horeca Smart</v>
          </cell>
          <cell r="C1470" t="str">
            <v xml:space="preserve">عملاء كاش </v>
          </cell>
          <cell r="D1470" t="str">
            <v>Mona Mohamed</v>
          </cell>
        </row>
        <row r="1471">
          <cell r="A1471" t="str">
            <v>Stop Shop</v>
          </cell>
          <cell r="B1471" t="str">
            <v>Horeca Smart</v>
          </cell>
          <cell r="C1471" t="str">
            <v xml:space="preserve">عملاء كاش </v>
          </cell>
          <cell r="D1471" t="str">
            <v>Naden Amgad</v>
          </cell>
        </row>
        <row r="1472">
          <cell r="A1472" t="str">
            <v>Strobe Cafe</v>
          </cell>
          <cell r="B1472" t="str">
            <v>Horeca Smart</v>
          </cell>
          <cell r="C1472" t="str">
            <v xml:space="preserve">عملاء كاش </v>
          </cell>
          <cell r="D1472" t="str">
            <v>Naden Amgad</v>
          </cell>
        </row>
        <row r="1473">
          <cell r="A1473" t="str">
            <v>Sufi</v>
          </cell>
          <cell r="B1473" t="str">
            <v>Horeca Smart</v>
          </cell>
          <cell r="C1473" t="str">
            <v xml:space="preserve">عملاء كاش </v>
          </cell>
          <cell r="D1473" t="str">
            <v>Donia Khaled</v>
          </cell>
        </row>
        <row r="1474">
          <cell r="A1474" t="str">
            <v>Sugar -شبر الخيمة</v>
          </cell>
          <cell r="B1474" t="str">
            <v>Horeca Smart</v>
          </cell>
          <cell r="C1474" t="str">
            <v xml:space="preserve">عملاء كاش </v>
          </cell>
          <cell r="D1474" t="str">
            <v>Lames Magdy</v>
          </cell>
        </row>
        <row r="1475">
          <cell r="A1475" t="str">
            <v>Sugar rush</v>
          </cell>
          <cell r="B1475" t="str">
            <v>Horeca Smart</v>
          </cell>
          <cell r="C1475" t="str">
            <v xml:space="preserve">عملاء كاش </v>
          </cell>
          <cell r="D1475" t="str">
            <v>Mona Mohamed</v>
          </cell>
        </row>
        <row r="1476">
          <cell r="A1476" t="str">
            <v>Suhi in box</v>
          </cell>
          <cell r="B1476" t="str">
            <v>Horeca Smart</v>
          </cell>
          <cell r="C1476" t="str">
            <v xml:space="preserve">عملاء كاش </v>
          </cell>
          <cell r="D1476" t="str">
            <v>Reham Maher</v>
          </cell>
        </row>
        <row r="1477">
          <cell r="A1477" t="str">
            <v>Suhiko sushi</v>
          </cell>
          <cell r="B1477" t="str">
            <v>Horeca Smart</v>
          </cell>
          <cell r="C1477" t="str">
            <v xml:space="preserve">عملاء كاش </v>
          </cell>
          <cell r="D1477" t="str">
            <v>Mona Mohamed</v>
          </cell>
        </row>
        <row r="1478">
          <cell r="A1478" t="str">
            <v>Sul Nilo</v>
          </cell>
          <cell r="B1478" t="str">
            <v>Horeca Smart</v>
          </cell>
          <cell r="C1478" t="str">
            <v xml:space="preserve">عملاء كاش </v>
          </cell>
          <cell r="D1478" t="str">
            <v>Mona Mohamed</v>
          </cell>
        </row>
        <row r="1479">
          <cell r="A1479" t="str">
            <v>Sushi Gate, Sushi Gate, Hadayek Al Ahram</v>
          </cell>
          <cell r="B1479" t="str">
            <v>Horeca Smart</v>
          </cell>
          <cell r="C1479" t="str">
            <v xml:space="preserve">عملاء كاش </v>
          </cell>
          <cell r="D1479" t="str">
            <v>Naden Amgad</v>
          </cell>
        </row>
        <row r="1480">
          <cell r="A1480" t="str">
            <v>Sushi Gate, Sushi Gate, الزمالك</v>
          </cell>
          <cell r="B1480" t="str">
            <v>Horeca Smart</v>
          </cell>
          <cell r="C1480" t="str">
            <v xml:space="preserve">عملاء كاش </v>
          </cell>
          <cell r="D1480" t="str">
            <v>Lames Magdy</v>
          </cell>
        </row>
        <row r="1481">
          <cell r="A1481" t="str">
            <v>Sushi Gate, Sushi Gate, نادي الصيد</v>
          </cell>
          <cell r="B1481" t="str">
            <v>Horeca Smart</v>
          </cell>
          <cell r="C1481" t="str">
            <v xml:space="preserve">عملاء كاش </v>
          </cell>
          <cell r="D1481" t="str">
            <v>Naden Amgad</v>
          </cell>
        </row>
        <row r="1482">
          <cell r="A1482" t="str">
            <v>Sushi home</v>
          </cell>
          <cell r="B1482" t="str">
            <v>Horeca Smart</v>
          </cell>
          <cell r="C1482" t="str">
            <v xml:space="preserve">عملاء كاش </v>
          </cell>
          <cell r="D1482" t="str">
            <v>Mona Mohamed</v>
          </cell>
        </row>
        <row r="1483">
          <cell r="A1483" t="str">
            <v>Suss Restaurant, Suss Restaurant, Suss Restaurant,اكتوبر</v>
          </cell>
          <cell r="B1483" t="str">
            <v>Horeca Smart</v>
          </cell>
          <cell r="C1483" t="str">
            <v xml:space="preserve">عملاء كاش </v>
          </cell>
          <cell r="D1483" t="str">
            <v>Reham Maher</v>
          </cell>
        </row>
        <row r="1484">
          <cell r="A1484" t="str">
            <v>Sweet Corner</v>
          </cell>
          <cell r="B1484" t="str">
            <v>Horeca Smart</v>
          </cell>
          <cell r="C1484" t="str">
            <v xml:space="preserve">عملاء كاش </v>
          </cell>
          <cell r="D1484" t="str">
            <v>Reham Maher</v>
          </cell>
        </row>
        <row r="1485">
          <cell r="A1485" t="str">
            <v>Sweet corn</v>
          </cell>
          <cell r="B1485" t="str">
            <v>Horeca Smart</v>
          </cell>
          <cell r="C1485" t="str">
            <v xml:space="preserve">عملاء كاش </v>
          </cell>
          <cell r="D1485" t="str">
            <v>Reham Maher</v>
          </cell>
        </row>
        <row r="1486">
          <cell r="A1486" t="str">
            <v>Swirkies, Swirkies, المعادى</v>
          </cell>
          <cell r="B1486" t="str">
            <v>Horeca Smart</v>
          </cell>
          <cell r="C1486" t="str">
            <v xml:space="preserve">عملاء كاش </v>
          </cell>
          <cell r="D1486" t="str">
            <v>Naden Amgad</v>
          </cell>
        </row>
        <row r="1487">
          <cell r="A1487" t="str">
            <v>Syriana Restaurant</v>
          </cell>
          <cell r="B1487" t="str">
            <v>Horeca Smart</v>
          </cell>
          <cell r="C1487" t="str">
            <v xml:space="preserve">عملاء كاش </v>
          </cell>
          <cell r="D1487" t="str">
            <v>Reham Maher</v>
          </cell>
        </row>
        <row r="1488">
          <cell r="A1488" t="str">
            <v>T-lab</v>
          </cell>
          <cell r="B1488" t="str">
            <v>Horeca Smart</v>
          </cell>
          <cell r="C1488" t="str">
            <v xml:space="preserve">عملاء كاش </v>
          </cell>
          <cell r="D1488" t="str">
            <v>Mona Mohamed</v>
          </cell>
        </row>
        <row r="1489">
          <cell r="A1489" t="str">
            <v>T3 cafe&amp;Restaurant</v>
          </cell>
          <cell r="B1489" t="str">
            <v>Horeca Smart</v>
          </cell>
          <cell r="C1489" t="str">
            <v xml:space="preserve">عملاء كاش </v>
          </cell>
          <cell r="D1489" t="str">
            <v>Reham Maher</v>
          </cell>
        </row>
        <row r="1490">
          <cell r="A1490" t="str">
            <v>THE THOR</v>
          </cell>
          <cell r="B1490" t="str">
            <v>Horeca Smart</v>
          </cell>
          <cell r="C1490" t="str">
            <v xml:space="preserve">عملاء كاش </v>
          </cell>
          <cell r="D1490" t="str">
            <v>Mona Mohamed</v>
          </cell>
        </row>
        <row r="1491">
          <cell r="A1491" t="str">
            <v>TRIX Cafe</v>
          </cell>
          <cell r="B1491" t="str">
            <v>Horeca Smart</v>
          </cell>
          <cell r="C1491" t="str">
            <v xml:space="preserve">عملاء كاش </v>
          </cell>
          <cell r="D1491" t="str">
            <v>Naden Amgad</v>
          </cell>
        </row>
        <row r="1492">
          <cell r="A1492" t="str">
            <v>TUX</v>
          </cell>
          <cell r="B1492" t="str">
            <v>Horeca Smart</v>
          </cell>
          <cell r="C1492" t="str">
            <v xml:space="preserve">عملاء كاش </v>
          </cell>
          <cell r="D1492" t="str">
            <v>Lames Magdy</v>
          </cell>
        </row>
        <row r="1493">
          <cell r="A1493" t="str">
            <v>Tabla lounge el batrawy</v>
          </cell>
          <cell r="B1493" t="str">
            <v>Horeca Smart</v>
          </cell>
          <cell r="C1493" t="str">
            <v xml:space="preserve">عملاء كاش </v>
          </cell>
          <cell r="D1493" t="str">
            <v>Reham Maher</v>
          </cell>
        </row>
        <row r="1494">
          <cell r="A1494" t="str">
            <v>Taj cafe&amp;Restaurant</v>
          </cell>
          <cell r="B1494" t="str">
            <v>Horeca Smart</v>
          </cell>
          <cell r="C1494" t="str">
            <v xml:space="preserve">عملاء كاش </v>
          </cell>
          <cell r="D1494" t="str">
            <v>Reham Maher</v>
          </cell>
        </row>
        <row r="1495">
          <cell r="A1495" t="str">
            <v>Talla Cafe&amp;Restaurant</v>
          </cell>
          <cell r="B1495" t="str">
            <v>Horeca Smart</v>
          </cell>
          <cell r="C1495" t="str">
            <v xml:space="preserve">عملاء كاش </v>
          </cell>
          <cell r="D1495" t="str">
            <v>Reham Maher</v>
          </cell>
        </row>
        <row r="1496">
          <cell r="A1496" t="str">
            <v>Tamer</v>
          </cell>
        </row>
        <row r="1497">
          <cell r="A1497" t="str">
            <v>Tamer Abdelmaboud</v>
          </cell>
          <cell r="C1497" t="str">
            <v>موظفين</v>
          </cell>
        </row>
        <row r="1498">
          <cell r="A1498" t="str">
            <v>Tarek Abdullah</v>
          </cell>
          <cell r="C1498" t="str">
            <v>موظفين</v>
          </cell>
          <cell r="D1498" t="str">
            <v>Abdullah Mahmoud</v>
          </cell>
        </row>
        <row r="1499">
          <cell r="A1499" t="str">
            <v>Tasetjojo</v>
          </cell>
          <cell r="B1499" t="str">
            <v>Horeca Smart</v>
          </cell>
          <cell r="C1499" t="str">
            <v xml:space="preserve">عملاء كاش </v>
          </cell>
          <cell r="D1499" t="str">
            <v>Reham Maher</v>
          </cell>
        </row>
        <row r="1500">
          <cell r="A1500" t="str">
            <v>Tea house, Tea house, الرحاب</v>
          </cell>
          <cell r="B1500" t="str">
            <v>Horeca Smart</v>
          </cell>
          <cell r="C1500" t="str">
            <v xml:space="preserve">عملاء كاش </v>
          </cell>
          <cell r="D1500" t="str">
            <v>Lames Magdy</v>
          </cell>
        </row>
        <row r="1501">
          <cell r="A1501" t="str">
            <v>Tea house, Tea house, مدينتى</v>
          </cell>
          <cell r="B1501" t="str">
            <v>Horeca Smart</v>
          </cell>
          <cell r="C1501" t="str">
            <v xml:space="preserve">عملاء كاش </v>
          </cell>
          <cell r="D1501" t="str">
            <v>Mona Mohamed</v>
          </cell>
        </row>
        <row r="1502">
          <cell r="A1502" t="str">
            <v>Teatro Cafe</v>
          </cell>
          <cell r="B1502" t="str">
            <v>Horeca Smart</v>
          </cell>
          <cell r="C1502" t="str">
            <v xml:space="preserve">عملاء كاش </v>
          </cell>
          <cell r="D1502" t="str">
            <v>Reham Maher</v>
          </cell>
        </row>
        <row r="1503">
          <cell r="A1503" t="str">
            <v>Tecrets</v>
          </cell>
          <cell r="B1503" t="str">
            <v>Horeca Smart</v>
          </cell>
          <cell r="C1503" t="str">
            <v xml:space="preserve">عملاء كاش </v>
          </cell>
          <cell r="D1503" t="str">
            <v>Mona Mohamed</v>
          </cell>
        </row>
        <row r="1504">
          <cell r="A1504" t="str">
            <v>Ten &amp; Ten Restaurant</v>
          </cell>
          <cell r="B1504" t="str">
            <v>Horeca Smart</v>
          </cell>
          <cell r="C1504" t="str">
            <v xml:space="preserve">عملاء كاش </v>
          </cell>
          <cell r="D1504" t="str">
            <v>Donia Khaled</v>
          </cell>
        </row>
        <row r="1505">
          <cell r="A1505" t="str">
            <v>Test pizza</v>
          </cell>
          <cell r="B1505" t="str">
            <v>Horeca Smart</v>
          </cell>
          <cell r="C1505" t="str">
            <v xml:space="preserve">عملاء كاش </v>
          </cell>
          <cell r="D1505" t="str">
            <v>Rasha Hassan</v>
          </cell>
        </row>
        <row r="1506">
          <cell r="A1506" t="str">
            <v>The 9</v>
          </cell>
          <cell r="B1506" t="str">
            <v>Horeca Smart</v>
          </cell>
          <cell r="C1506" t="str">
            <v xml:space="preserve">عملاء كاش </v>
          </cell>
          <cell r="D1506" t="str">
            <v>Hager Ahmed</v>
          </cell>
        </row>
        <row r="1507">
          <cell r="A1507" t="str">
            <v>The Brewer</v>
          </cell>
          <cell r="B1507" t="str">
            <v>Horeca Smart</v>
          </cell>
          <cell r="C1507" t="str">
            <v xml:space="preserve">عملاء كاش </v>
          </cell>
          <cell r="D1507" t="str">
            <v>Mona Mohamed</v>
          </cell>
        </row>
        <row r="1508">
          <cell r="A1508" t="str">
            <v>The Corner</v>
          </cell>
          <cell r="B1508" t="str">
            <v>Horeca Smart</v>
          </cell>
          <cell r="C1508" t="str">
            <v xml:space="preserve">عملاء كاش </v>
          </cell>
          <cell r="D1508" t="str">
            <v>Reham Maher</v>
          </cell>
        </row>
        <row r="1509">
          <cell r="A1509" t="str">
            <v>The Eataly</v>
          </cell>
          <cell r="B1509" t="str">
            <v>Horeca Smart</v>
          </cell>
          <cell r="C1509" t="str">
            <v xml:space="preserve">عملاء كاش </v>
          </cell>
          <cell r="D1509" t="str">
            <v>Naden Amgad</v>
          </cell>
        </row>
        <row r="1510">
          <cell r="A1510" t="str">
            <v>The Fat Boyz Restaurant</v>
          </cell>
          <cell r="B1510" t="str">
            <v>Horeca Smart</v>
          </cell>
          <cell r="C1510" t="str">
            <v xml:space="preserve">عملاء كاش </v>
          </cell>
          <cell r="D1510" t="str">
            <v>Reham Maher</v>
          </cell>
        </row>
        <row r="1511">
          <cell r="A1511" t="str">
            <v>The Food Lab</v>
          </cell>
          <cell r="B1511" t="str">
            <v>Horeca Smart</v>
          </cell>
          <cell r="C1511" t="str">
            <v xml:space="preserve">عملاء كاش </v>
          </cell>
          <cell r="D1511" t="str">
            <v>Mona Mohamed</v>
          </cell>
        </row>
        <row r="1512">
          <cell r="A1512" t="str">
            <v>The Gluten Free House</v>
          </cell>
          <cell r="B1512" t="str">
            <v>Horeca Smart</v>
          </cell>
          <cell r="C1512" t="str">
            <v xml:space="preserve">عملاء كاش </v>
          </cell>
          <cell r="D1512" t="str">
            <v>Mona Mohamed</v>
          </cell>
        </row>
        <row r="1513">
          <cell r="A1513" t="str">
            <v>The Little Grain Sushi &amp; Asian</v>
          </cell>
          <cell r="B1513" t="str">
            <v>Horeca Smart</v>
          </cell>
          <cell r="C1513" t="str">
            <v xml:space="preserve">عملاء كاش </v>
          </cell>
          <cell r="D1513" t="str">
            <v>Mona Mohamed</v>
          </cell>
        </row>
        <row r="1514">
          <cell r="A1514" t="str">
            <v>The Lounge Restaurant</v>
          </cell>
          <cell r="B1514" t="str">
            <v>Horeca Smart</v>
          </cell>
          <cell r="C1514" t="str">
            <v xml:space="preserve">عملاء كاش </v>
          </cell>
          <cell r="D1514" t="str">
            <v>Mona Mohamed</v>
          </cell>
        </row>
        <row r="1515">
          <cell r="A1515" t="str">
            <v>The Rue Cafe</v>
          </cell>
          <cell r="B1515" t="str">
            <v>Horeca Smart</v>
          </cell>
          <cell r="C1515" t="str">
            <v xml:space="preserve">عملاء كاش </v>
          </cell>
          <cell r="D1515" t="str">
            <v>Naden Amgad</v>
          </cell>
        </row>
        <row r="1516">
          <cell r="A1516" t="str">
            <v>The Smith</v>
          </cell>
          <cell r="B1516" t="str">
            <v>Horeca Smart</v>
          </cell>
          <cell r="C1516" t="str">
            <v xml:space="preserve">عملاء كاش </v>
          </cell>
          <cell r="D1516" t="str">
            <v>Reham Maher</v>
          </cell>
        </row>
        <row r="1517">
          <cell r="A1517" t="str">
            <v>The Stay Hotel</v>
          </cell>
          <cell r="B1517" t="str">
            <v>Horeca Smart</v>
          </cell>
          <cell r="C1517" t="str">
            <v xml:space="preserve">عملاء كاش </v>
          </cell>
          <cell r="D1517" t="str">
            <v>Mona Mohamed</v>
          </cell>
        </row>
        <row r="1518">
          <cell r="A1518" t="str">
            <v>The Tab Hospitality</v>
          </cell>
          <cell r="B1518" t="str">
            <v>Horeca Smart</v>
          </cell>
          <cell r="C1518" t="str">
            <v xml:space="preserve">عملاء كاش </v>
          </cell>
          <cell r="D1518" t="str">
            <v>Mona Mohamed</v>
          </cell>
        </row>
        <row r="1519">
          <cell r="A1519" t="str">
            <v>The Tree Caffe</v>
          </cell>
          <cell r="B1519" t="str">
            <v>Horeca Smart</v>
          </cell>
          <cell r="C1519" t="str">
            <v xml:space="preserve">عملاء كاش </v>
          </cell>
          <cell r="D1519" t="str">
            <v>Reham Maher</v>
          </cell>
        </row>
        <row r="1520">
          <cell r="A1520" t="str">
            <v>The Wild Wing</v>
          </cell>
          <cell r="B1520" t="str">
            <v>Horeca Smart</v>
          </cell>
          <cell r="C1520" t="str">
            <v xml:space="preserve">عملاء كاش </v>
          </cell>
          <cell r="D1520" t="str">
            <v>Naden Amgad</v>
          </cell>
        </row>
        <row r="1521">
          <cell r="A1521" t="str">
            <v>The flag Restaurant</v>
          </cell>
          <cell r="B1521" t="str">
            <v>Horeca Smart</v>
          </cell>
          <cell r="C1521" t="str">
            <v xml:space="preserve">عملاء كاش </v>
          </cell>
          <cell r="D1521" t="str">
            <v>Naden Amgad</v>
          </cell>
        </row>
        <row r="1522">
          <cell r="A1522" t="str">
            <v>The lake</v>
          </cell>
          <cell r="B1522" t="str">
            <v>Horeca Smart</v>
          </cell>
          <cell r="C1522" t="str">
            <v xml:space="preserve">عملاء كاش </v>
          </cell>
          <cell r="D1522" t="str">
            <v>Mona Mohamed</v>
          </cell>
        </row>
        <row r="1523">
          <cell r="A1523" t="str">
            <v>The lake, The lake, الشروق</v>
          </cell>
          <cell r="B1523" t="str">
            <v>Horeca Smart</v>
          </cell>
          <cell r="C1523" t="str">
            <v xml:space="preserve">عملاء كاش </v>
          </cell>
          <cell r="D1523" t="str">
            <v>Mona Mohamed</v>
          </cell>
        </row>
        <row r="1524">
          <cell r="A1524" t="str">
            <v>The lake, The lake, النزهة</v>
          </cell>
          <cell r="B1524" t="str">
            <v>Horeca Smart</v>
          </cell>
          <cell r="C1524" t="str">
            <v xml:space="preserve">عملاء كاش </v>
          </cell>
          <cell r="D1524" t="str">
            <v>Mona Mohamed</v>
          </cell>
        </row>
        <row r="1525">
          <cell r="A1525" t="str">
            <v>The lake, The lake, حديقة الازهر</v>
          </cell>
          <cell r="B1525" t="str">
            <v>Horeca Smart</v>
          </cell>
          <cell r="C1525" t="str">
            <v xml:space="preserve">عملاء كاش </v>
          </cell>
          <cell r="D1525" t="str">
            <v>Mona Mohamed</v>
          </cell>
        </row>
        <row r="1526">
          <cell r="A1526" t="str">
            <v>The mood</v>
          </cell>
          <cell r="B1526" t="str">
            <v>Horeca Smart</v>
          </cell>
          <cell r="C1526" t="str">
            <v xml:space="preserve">عملاء كاش </v>
          </cell>
          <cell r="D1526" t="str">
            <v>Mona Mohamed</v>
          </cell>
        </row>
        <row r="1527">
          <cell r="A1527" t="str">
            <v>The sky</v>
          </cell>
          <cell r="B1527" t="str">
            <v>Horeca Smart</v>
          </cell>
          <cell r="C1527" t="str">
            <v xml:space="preserve">عملاء كاش </v>
          </cell>
          <cell r="D1527" t="str">
            <v>Mona Mohamed</v>
          </cell>
        </row>
        <row r="1528">
          <cell r="A1528" t="str">
            <v>The strand Cafe&amp;Restaurant</v>
          </cell>
          <cell r="B1528" t="str">
            <v>Horeca Smart</v>
          </cell>
          <cell r="C1528" t="str">
            <v xml:space="preserve">عملاء كاش </v>
          </cell>
          <cell r="D1528" t="str">
            <v>Mona Mohamed</v>
          </cell>
        </row>
        <row r="1529">
          <cell r="A1529" t="str">
            <v>Tiger’s Diner</v>
          </cell>
          <cell r="B1529" t="str">
            <v>Horeca Smart</v>
          </cell>
          <cell r="C1529" t="str">
            <v xml:space="preserve">عملاء كاش </v>
          </cell>
          <cell r="D1529" t="str">
            <v>Naden Amgad</v>
          </cell>
        </row>
        <row r="1530">
          <cell r="A1530" t="str">
            <v>Tigo cafe</v>
          </cell>
          <cell r="B1530" t="str">
            <v>Horeca Smart</v>
          </cell>
          <cell r="C1530" t="str">
            <v xml:space="preserve">عملاء كاش </v>
          </cell>
          <cell r="D1530" t="str">
            <v>Reham Maher</v>
          </cell>
        </row>
        <row r="1531">
          <cell r="A1531" t="str">
            <v>Tinto, Tinto, Tinto- المقطم</v>
          </cell>
          <cell r="B1531" t="str">
            <v>Horeca Smart</v>
          </cell>
          <cell r="C1531" t="str">
            <v xml:space="preserve">عملاء كاش </v>
          </cell>
          <cell r="D1531" t="str">
            <v>Reham Maher</v>
          </cell>
        </row>
        <row r="1532">
          <cell r="A1532" t="str">
            <v>Tita Restaurant</v>
          </cell>
          <cell r="B1532" t="str">
            <v>Horeca Smart</v>
          </cell>
          <cell r="C1532" t="str">
            <v xml:space="preserve">عملاء كاش </v>
          </cell>
          <cell r="D1532" t="str">
            <v>Naden Amgad</v>
          </cell>
        </row>
        <row r="1533">
          <cell r="A1533" t="str">
            <v>Top Fruit</v>
          </cell>
          <cell r="B1533" t="str">
            <v>Horeca Smart</v>
          </cell>
          <cell r="C1533" t="str">
            <v xml:space="preserve">عملاء كاش </v>
          </cell>
          <cell r="D1533" t="str">
            <v>Mona Mohamed</v>
          </cell>
        </row>
        <row r="1534">
          <cell r="A1534" t="str">
            <v>Top Fruit, Top Fruit, الشيخ زايد</v>
          </cell>
          <cell r="B1534" t="str">
            <v>Horeca Smart</v>
          </cell>
          <cell r="C1534" t="str">
            <v xml:space="preserve">عملاء كاش </v>
          </cell>
          <cell r="D1534" t="str">
            <v>Naden Amgad</v>
          </cell>
        </row>
        <row r="1535">
          <cell r="A1535" t="str">
            <v>Top Fruit, Top Fruit, مدينتي</v>
          </cell>
          <cell r="B1535" t="str">
            <v>Horeca Smart</v>
          </cell>
          <cell r="C1535" t="str">
            <v xml:space="preserve">عملاء كاش </v>
          </cell>
          <cell r="D1535" t="str">
            <v>Mona Mohamed</v>
          </cell>
        </row>
        <row r="1536">
          <cell r="A1536" t="str">
            <v>Toti fruit</v>
          </cell>
          <cell r="B1536" t="str">
            <v>Horeca Smart</v>
          </cell>
          <cell r="C1536" t="str">
            <v xml:space="preserve">عملاء كاش </v>
          </cell>
          <cell r="D1536" t="str">
            <v>Mona Mohamed</v>
          </cell>
        </row>
        <row r="1537">
          <cell r="A1537" t="str">
            <v>Toti fruit, Toti fruit, التجمع</v>
          </cell>
          <cell r="B1537" t="str">
            <v>Horeca Smart</v>
          </cell>
          <cell r="C1537" t="str">
            <v xml:space="preserve">عملاء كاش </v>
          </cell>
          <cell r="D1537" t="str">
            <v>Mona Mohamed</v>
          </cell>
        </row>
        <row r="1538">
          <cell r="A1538" t="str">
            <v>Toti fruit, Toti fruit, مدينة نصر</v>
          </cell>
          <cell r="B1538" t="str">
            <v>Horeca Smart</v>
          </cell>
          <cell r="C1538" t="str">
            <v xml:space="preserve">عملاء كاش </v>
          </cell>
          <cell r="D1538" t="str">
            <v>Reham Maher</v>
          </cell>
        </row>
        <row r="1539">
          <cell r="A1539" t="str">
            <v>Tradezone, Tradezone, التجمع</v>
          </cell>
          <cell r="B1539" t="str">
            <v>Horeca Smart</v>
          </cell>
          <cell r="C1539" t="str">
            <v xml:space="preserve">عملاء كاش </v>
          </cell>
          <cell r="D1539" t="str">
            <v>Donia Khaled</v>
          </cell>
        </row>
        <row r="1540">
          <cell r="A1540" t="str">
            <v>Tradezone, Tradezone, مدينة نصر</v>
          </cell>
          <cell r="B1540" t="str">
            <v>Horeca Smart</v>
          </cell>
          <cell r="C1540" t="str">
            <v xml:space="preserve">عملاء كاش </v>
          </cell>
          <cell r="D1540" t="str">
            <v>Lames Magdy</v>
          </cell>
        </row>
        <row r="1541">
          <cell r="A1541" t="str">
            <v>Transit cafe</v>
          </cell>
          <cell r="B1541" t="str">
            <v>Horeca Smart</v>
          </cell>
          <cell r="C1541" t="str">
            <v xml:space="preserve">عملاء كاش </v>
          </cell>
          <cell r="D1541" t="str">
            <v>Mona Mohamed</v>
          </cell>
        </row>
        <row r="1542">
          <cell r="A1542" t="str">
            <v>Tree coffee &amp; working space</v>
          </cell>
          <cell r="B1542" t="str">
            <v>Horeca Smart</v>
          </cell>
          <cell r="C1542" t="str">
            <v xml:space="preserve">عملاء كاش </v>
          </cell>
          <cell r="D1542" t="str">
            <v>Mona Mohamed</v>
          </cell>
        </row>
        <row r="1543">
          <cell r="A1543" t="str">
            <v>Tri-Cycle Burger Restaurant</v>
          </cell>
          <cell r="B1543" t="str">
            <v>Horeca Smart</v>
          </cell>
          <cell r="C1543" t="str">
            <v xml:space="preserve">عملاء كاش </v>
          </cell>
          <cell r="D1543" t="str">
            <v>Mona Mohamed</v>
          </cell>
        </row>
        <row r="1544">
          <cell r="A1544" t="str">
            <v>Triple A</v>
          </cell>
          <cell r="B1544" t="str">
            <v>Horeca Smart</v>
          </cell>
          <cell r="C1544" t="str">
            <v xml:space="preserve">عملاء كاش </v>
          </cell>
          <cell r="D1544" t="str">
            <v>Mona Mohamed</v>
          </cell>
        </row>
        <row r="1545">
          <cell r="A1545" t="str">
            <v>Triple Hook, Triple Hook, مدينة بدر</v>
          </cell>
          <cell r="B1545" t="str">
            <v>Horeca Smart</v>
          </cell>
          <cell r="C1545" t="str">
            <v xml:space="preserve">عملاء كاش </v>
          </cell>
          <cell r="D1545" t="str">
            <v>Mona Mohamed</v>
          </cell>
        </row>
        <row r="1546">
          <cell r="A1546" t="str">
            <v>Tropica</v>
          </cell>
          <cell r="B1546" t="str">
            <v>Horeca Smart</v>
          </cell>
          <cell r="C1546" t="str">
            <v xml:space="preserve">عملاء كاش </v>
          </cell>
          <cell r="D1546" t="str">
            <v>Mona Mohamed</v>
          </cell>
        </row>
        <row r="1547">
          <cell r="A1547" t="str">
            <v>Two spons</v>
          </cell>
          <cell r="B1547" t="str">
            <v>Horeca Smart</v>
          </cell>
          <cell r="C1547" t="str">
            <v xml:space="preserve">عملاء كاش </v>
          </cell>
          <cell r="D1547" t="str">
            <v>Mona Mohamed</v>
          </cell>
        </row>
        <row r="1548">
          <cell r="A1548" t="str">
            <v>Uko sushi</v>
          </cell>
          <cell r="B1548" t="str">
            <v>Horeca Smart</v>
          </cell>
          <cell r="C1548" t="str">
            <v xml:space="preserve">عملاء كاش </v>
          </cell>
          <cell r="D1548" t="str">
            <v>Reham Maher</v>
          </cell>
        </row>
        <row r="1549">
          <cell r="A1549" t="str">
            <v>Uptown Cairo</v>
          </cell>
          <cell r="B1549" t="str">
            <v>Horeca Smart</v>
          </cell>
          <cell r="C1549" t="str">
            <v xml:space="preserve">عملاء كاش </v>
          </cell>
          <cell r="D1549" t="str">
            <v>Mona Mohamed</v>
          </cell>
        </row>
        <row r="1550">
          <cell r="A1550" t="str">
            <v>Utopia drink</v>
          </cell>
          <cell r="B1550" t="str">
            <v>Horeca Smart</v>
          </cell>
          <cell r="C1550" t="str">
            <v xml:space="preserve">عملاء كاش </v>
          </cell>
          <cell r="D1550" t="str">
            <v>Naden Amgad</v>
          </cell>
        </row>
        <row r="1551">
          <cell r="A1551" t="str">
            <v>Valhalla-ChimneyCafe&amp;Restaurant</v>
          </cell>
          <cell r="B1551" t="str">
            <v>Horeca Smart</v>
          </cell>
          <cell r="C1551" t="str">
            <v xml:space="preserve">عملاء كاش </v>
          </cell>
          <cell r="D1551" t="str">
            <v>Mona Mohamed</v>
          </cell>
        </row>
        <row r="1552">
          <cell r="A1552" t="str">
            <v>Vanilla ice cream</v>
          </cell>
          <cell r="B1552" t="str">
            <v>Horeca Smart</v>
          </cell>
          <cell r="C1552" t="str">
            <v xml:space="preserve">عملاء كاش </v>
          </cell>
          <cell r="D1552" t="str">
            <v>Reham Maher</v>
          </cell>
        </row>
        <row r="1553">
          <cell r="A1553" t="str">
            <v>Varanda, Varanda, Downtown Cairo</v>
          </cell>
          <cell r="B1553" t="str">
            <v>Horeca Smart</v>
          </cell>
          <cell r="C1553" t="str">
            <v xml:space="preserve">عملاء كاش </v>
          </cell>
          <cell r="D1553" t="str">
            <v>Naden Amgad</v>
          </cell>
        </row>
        <row r="1554">
          <cell r="A1554" t="str">
            <v>Varanda, Varanda, October</v>
          </cell>
          <cell r="B1554" t="str">
            <v>Horeca Smart</v>
          </cell>
          <cell r="C1554" t="str">
            <v xml:space="preserve">عملاء كاش </v>
          </cell>
          <cell r="D1554" t="str">
            <v>Naden Amgad</v>
          </cell>
        </row>
        <row r="1555">
          <cell r="A1555" t="str">
            <v>Varanda, Varanda, مدينة نصر</v>
          </cell>
          <cell r="B1555" t="str">
            <v>Horeca Smart</v>
          </cell>
          <cell r="C1555" t="str">
            <v xml:space="preserve">عملاء كاش </v>
          </cell>
          <cell r="D1555" t="str">
            <v>Naden Amgad</v>
          </cell>
        </row>
        <row r="1556">
          <cell r="A1556" t="str">
            <v>Varanda, Varanda, مصر الجديدة</v>
          </cell>
          <cell r="B1556" t="str">
            <v>Horeca Smart</v>
          </cell>
          <cell r="C1556" t="str">
            <v xml:space="preserve">عملاء كاش </v>
          </cell>
          <cell r="D1556" t="str">
            <v>Naden Amgad</v>
          </cell>
        </row>
        <row r="1557">
          <cell r="A1557" t="str">
            <v>Vee Cafe</v>
          </cell>
          <cell r="B1557" t="str">
            <v>Horeca Smart</v>
          </cell>
          <cell r="C1557" t="str">
            <v xml:space="preserve">عملاء كاش </v>
          </cell>
          <cell r="D1557" t="str">
            <v>Reham Maher</v>
          </cell>
        </row>
        <row r="1558">
          <cell r="A1558" t="str">
            <v>Vergnano Cafe</v>
          </cell>
          <cell r="B1558" t="str">
            <v>Horeca Smart</v>
          </cell>
          <cell r="C1558" t="str">
            <v xml:space="preserve">عملاء كاش </v>
          </cell>
          <cell r="D1558" t="str">
            <v>Mona Mohamed</v>
          </cell>
        </row>
        <row r="1559">
          <cell r="A1559" t="str">
            <v>Verto Coffee</v>
          </cell>
          <cell r="B1559" t="str">
            <v>Horeca Smart</v>
          </cell>
          <cell r="C1559" t="str">
            <v xml:space="preserve">عملاء كاش </v>
          </cell>
          <cell r="D1559" t="str">
            <v>Reham Maher</v>
          </cell>
        </row>
        <row r="1560">
          <cell r="A1560" t="str">
            <v>Vibes cafe</v>
          </cell>
          <cell r="B1560" t="str">
            <v>Horeca Smart</v>
          </cell>
          <cell r="C1560" t="str">
            <v xml:space="preserve">عملاء كاش </v>
          </cell>
          <cell r="D1560" t="str">
            <v>Mona Mohamed</v>
          </cell>
        </row>
        <row r="1561">
          <cell r="A1561" t="str">
            <v>Viking Burger</v>
          </cell>
          <cell r="B1561" t="str">
            <v>Horeca Smart</v>
          </cell>
          <cell r="C1561" t="str">
            <v xml:space="preserve">عملاء كاش </v>
          </cell>
          <cell r="D1561" t="str">
            <v>Reham Maher</v>
          </cell>
        </row>
        <row r="1562">
          <cell r="A1562" t="str">
            <v>Viking Cafe&amp;Restaurant -مصر الجديدة</v>
          </cell>
          <cell r="B1562" t="str">
            <v>Horeca Smart</v>
          </cell>
          <cell r="C1562" t="str">
            <v xml:space="preserve">عملاء كاش </v>
          </cell>
          <cell r="D1562" t="str">
            <v>Mona Mohamed</v>
          </cell>
        </row>
        <row r="1563">
          <cell r="A1563" t="str">
            <v>Villa 14</v>
          </cell>
          <cell r="B1563" t="str">
            <v>Horeca Smart</v>
          </cell>
          <cell r="C1563" t="str">
            <v xml:space="preserve">عملاء كاش </v>
          </cell>
          <cell r="D1563" t="str">
            <v>Mona Mohamed</v>
          </cell>
        </row>
        <row r="1564">
          <cell r="A1564" t="str">
            <v>Viva sushi</v>
          </cell>
          <cell r="B1564" t="str">
            <v>Horeca Smart</v>
          </cell>
          <cell r="C1564" t="str">
            <v xml:space="preserve">عملاء كاش </v>
          </cell>
          <cell r="D1564" t="str">
            <v>Mona Mohamed</v>
          </cell>
        </row>
        <row r="1565">
          <cell r="A1565" t="str">
            <v>Voyage Lounge Cafe&amp;Restaurant</v>
          </cell>
          <cell r="B1565" t="str">
            <v>Horeca Smart</v>
          </cell>
          <cell r="C1565" t="str">
            <v xml:space="preserve">عملاء كاش </v>
          </cell>
          <cell r="D1565" t="str">
            <v>Lames Magdy</v>
          </cell>
        </row>
        <row r="1566">
          <cell r="A1566" t="str">
            <v>Vr-Playstation</v>
          </cell>
          <cell r="B1566" t="str">
            <v>Horeca Smart</v>
          </cell>
          <cell r="C1566" t="str">
            <v xml:space="preserve">عملاء كاش </v>
          </cell>
          <cell r="D1566" t="str">
            <v>Rasha Hassan</v>
          </cell>
        </row>
        <row r="1567">
          <cell r="A1567" t="str">
            <v>Waffle dreams</v>
          </cell>
          <cell r="B1567" t="str">
            <v>Horeca Smart</v>
          </cell>
          <cell r="C1567" t="str">
            <v xml:space="preserve">عملاء كاش </v>
          </cell>
          <cell r="D1567" t="str">
            <v>Reham Maher</v>
          </cell>
        </row>
        <row r="1568">
          <cell r="A1568" t="str">
            <v>Wanas Cafe</v>
          </cell>
          <cell r="B1568" t="str">
            <v>Horeca Smart</v>
          </cell>
          <cell r="C1568" t="str">
            <v xml:space="preserve">عملاء كاش </v>
          </cell>
          <cell r="D1568" t="str">
            <v>Naden Amgad</v>
          </cell>
        </row>
        <row r="1569">
          <cell r="A1569" t="str">
            <v>Weirdough Cafe&amp;Restaurant</v>
          </cell>
          <cell r="B1569" t="str">
            <v>Horeca Smart</v>
          </cell>
          <cell r="C1569" t="str">
            <v xml:space="preserve">عملاء كاش </v>
          </cell>
          <cell r="D1569" t="str">
            <v>Mona Mohamed</v>
          </cell>
        </row>
        <row r="1570">
          <cell r="A1570" t="str">
            <v>Wengo</v>
          </cell>
          <cell r="B1570" t="str">
            <v>Horeca Smart</v>
          </cell>
          <cell r="C1570" t="str">
            <v xml:space="preserve">عملاء كاش </v>
          </cell>
          <cell r="D1570" t="str">
            <v>Mona Mohamed</v>
          </cell>
        </row>
        <row r="1571">
          <cell r="A1571" t="str">
            <v>Willcy Chicken</v>
          </cell>
          <cell r="B1571" t="str">
            <v>Horeca Smart</v>
          </cell>
          <cell r="C1571" t="str">
            <v xml:space="preserve">عملاء كاش </v>
          </cell>
          <cell r="D1571" t="str">
            <v>Reham Maher</v>
          </cell>
        </row>
        <row r="1572">
          <cell r="A1572" t="str">
            <v>Willi W Willi</v>
          </cell>
          <cell r="B1572" t="str">
            <v>Horeca Smart</v>
          </cell>
          <cell r="C1572" t="str">
            <v xml:space="preserve">عملاء كاش </v>
          </cell>
          <cell r="D1572" t="str">
            <v>Reham Maher</v>
          </cell>
        </row>
        <row r="1573">
          <cell r="A1573" t="str">
            <v>Wolves fitness studio</v>
          </cell>
          <cell r="B1573" t="str">
            <v>Horeca Smart</v>
          </cell>
          <cell r="C1573" t="str">
            <v xml:space="preserve">عملاء كاش </v>
          </cell>
          <cell r="D1573" t="str">
            <v>Mona Mohamed</v>
          </cell>
        </row>
        <row r="1574">
          <cell r="A1574" t="str">
            <v>X CRISPY FRIEDCHICKEN</v>
          </cell>
          <cell r="B1574" t="str">
            <v>Horeca Smart</v>
          </cell>
          <cell r="C1574" t="str">
            <v xml:space="preserve">عملاء كاش </v>
          </cell>
          <cell r="D1574" t="str">
            <v>Reham Maher</v>
          </cell>
        </row>
        <row r="1575">
          <cell r="A1575" t="str">
            <v>X Square</v>
          </cell>
          <cell r="B1575" t="str">
            <v>Horeca Smart</v>
          </cell>
          <cell r="C1575" t="str">
            <v xml:space="preserve">عملاء كاش </v>
          </cell>
          <cell r="D1575" t="str">
            <v>Mona Mohamed</v>
          </cell>
        </row>
        <row r="1576">
          <cell r="A1576" t="str">
            <v>X Square, X Square, الرحاب</v>
          </cell>
          <cell r="B1576" t="str">
            <v>Horeca Smart</v>
          </cell>
          <cell r="C1576" t="str">
            <v xml:space="preserve">عملاء كاش </v>
          </cell>
          <cell r="D1576" t="str">
            <v>Mona Mohamed</v>
          </cell>
        </row>
        <row r="1577">
          <cell r="A1577" t="str">
            <v>X Square, X Square, جامعة المستقبل</v>
          </cell>
          <cell r="B1577" t="str">
            <v>Horeca Smart</v>
          </cell>
          <cell r="C1577" t="str">
            <v xml:space="preserve">عملاء كاش </v>
          </cell>
          <cell r="D1577" t="str">
            <v>Mona Mohamed</v>
          </cell>
        </row>
        <row r="1578">
          <cell r="A1578" t="str">
            <v>Yahia Medhat</v>
          </cell>
        </row>
        <row r="1579">
          <cell r="A1579" t="str">
            <v>Yalla Lounge - Hub 50 mall</v>
          </cell>
          <cell r="B1579" t="str">
            <v>Horeca Smart</v>
          </cell>
          <cell r="C1579" t="str">
            <v xml:space="preserve">عملاء كاش </v>
          </cell>
          <cell r="D1579" t="str">
            <v>Mona Mohamed</v>
          </cell>
        </row>
        <row r="1580">
          <cell r="A1580" t="str">
            <v>Yassen Emad</v>
          </cell>
          <cell r="B1580" t="str">
            <v>MAS</v>
          </cell>
          <cell r="C1580" t="str">
            <v>موظفين</v>
          </cell>
        </row>
        <row r="1581">
          <cell r="A1581" t="str">
            <v>Yassen Emad</v>
          </cell>
        </row>
        <row r="1582">
          <cell r="A1582" t="str">
            <v>Yasso caffe</v>
          </cell>
          <cell r="B1582" t="str">
            <v>Horeca Smart</v>
          </cell>
          <cell r="C1582" t="str">
            <v xml:space="preserve">عملاء كاش </v>
          </cell>
          <cell r="D1582" t="str">
            <v>Reham Maher</v>
          </cell>
        </row>
        <row r="1583">
          <cell r="A1583" t="str">
            <v>Yatte</v>
          </cell>
          <cell r="B1583" t="str">
            <v>Horeca Smart</v>
          </cell>
          <cell r="C1583" t="str">
            <v xml:space="preserve">عملاء كاش </v>
          </cell>
          <cell r="D1583" t="str">
            <v>Mona Mohamed</v>
          </cell>
        </row>
        <row r="1584">
          <cell r="A1584" t="str">
            <v>Yaya Sweet</v>
          </cell>
          <cell r="B1584" t="str">
            <v>MAS</v>
          </cell>
          <cell r="C1584" t="str">
            <v xml:space="preserve">عملاء كاش </v>
          </cell>
          <cell r="D1584" t="str">
            <v>Mona Mohamed</v>
          </cell>
        </row>
        <row r="1585">
          <cell r="A1585" t="str">
            <v>Yousef ----</v>
          </cell>
          <cell r="B1585" t="str">
            <v>MAS</v>
          </cell>
          <cell r="C1585" t="str">
            <v>موظفين</v>
          </cell>
          <cell r="D1585" t="str">
            <v>Yousef Saeed</v>
          </cell>
        </row>
        <row r="1586">
          <cell r="A1586" t="str">
            <v>Yousef Saeed</v>
          </cell>
          <cell r="C1586" t="str">
            <v>موظفين</v>
          </cell>
        </row>
        <row r="1587">
          <cell r="A1587" t="str">
            <v>Youssef Rezk</v>
          </cell>
        </row>
        <row r="1588">
          <cell r="A1588" t="str">
            <v>Yousseff</v>
          </cell>
          <cell r="C1588" t="str">
            <v>موظفين</v>
          </cell>
        </row>
        <row r="1589">
          <cell r="A1589" t="str">
            <v>Yuki sushi, Yuki sushi, التجمع</v>
          </cell>
          <cell r="B1589" t="str">
            <v>Horeca Smart</v>
          </cell>
          <cell r="C1589" t="str">
            <v xml:space="preserve">عملاء كاش </v>
          </cell>
          <cell r="D1589" t="str">
            <v>Mona Mohamed</v>
          </cell>
        </row>
        <row r="1590">
          <cell r="A1590" t="str">
            <v>Yum Yum</v>
          </cell>
          <cell r="B1590" t="str">
            <v>Horeca Smart</v>
          </cell>
          <cell r="C1590" t="str">
            <v xml:space="preserve">عملاء كاش </v>
          </cell>
          <cell r="D1590" t="str">
            <v>Naden Amgad</v>
          </cell>
        </row>
        <row r="1591">
          <cell r="A1591" t="str">
            <v>Yummy’s</v>
          </cell>
          <cell r="B1591" t="str">
            <v>Horeca Smart</v>
          </cell>
          <cell r="C1591" t="str">
            <v xml:space="preserve">عملاء كاش </v>
          </cell>
          <cell r="D1591" t="str">
            <v>Naden Amgad</v>
          </cell>
        </row>
        <row r="1592">
          <cell r="A1592" t="str">
            <v>Zack's Fried Chicken</v>
          </cell>
          <cell r="B1592" t="str">
            <v>Horeca Smart</v>
          </cell>
          <cell r="C1592" t="str">
            <v xml:space="preserve">عملاء كاش </v>
          </cell>
          <cell r="D1592" t="str">
            <v>Reham Maher</v>
          </cell>
        </row>
        <row r="1593">
          <cell r="A1593" t="str">
            <v>Zeal and suave Cafe</v>
          </cell>
          <cell r="B1593" t="str">
            <v>Horeca Smart</v>
          </cell>
          <cell r="C1593" t="str">
            <v xml:space="preserve">عملاء كاش </v>
          </cell>
          <cell r="D1593" t="str">
            <v>Reham Maher</v>
          </cell>
        </row>
        <row r="1594">
          <cell r="A1594" t="str">
            <v>Zelda Cafe &amp; Restaurant</v>
          </cell>
          <cell r="B1594" t="str">
            <v>Horeca Smart</v>
          </cell>
          <cell r="C1594" t="str">
            <v xml:space="preserve">عملاء كاش </v>
          </cell>
          <cell r="D1594" t="str">
            <v>Mona Mohamed</v>
          </cell>
        </row>
        <row r="1595">
          <cell r="A1595" t="str">
            <v>Zelda Cafe &amp; Restaurant, Zelda Cafe &amp; Restaurant, العبور</v>
          </cell>
          <cell r="B1595" t="str">
            <v>Horeca Smart</v>
          </cell>
          <cell r="C1595" t="str">
            <v xml:space="preserve">عملاء كاش </v>
          </cell>
          <cell r="D1595" t="str">
            <v>Mona Mohamed</v>
          </cell>
        </row>
        <row r="1596">
          <cell r="A1596" t="str">
            <v>Zelda Cafe &amp; Restaurant, Zelda Cafe &amp; Restaurant, مصر الجديدة</v>
          </cell>
          <cell r="B1596" t="str">
            <v>Horeca Smart</v>
          </cell>
          <cell r="C1596" t="str">
            <v xml:space="preserve">عملاء كاش </v>
          </cell>
          <cell r="D1596" t="str">
            <v>Mona Mohamed</v>
          </cell>
        </row>
        <row r="1597">
          <cell r="A1597" t="str">
            <v>Zero Room</v>
          </cell>
          <cell r="B1597" t="str">
            <v>Horeca Smart</v>
          </cell>
          <cell r="C1597" t="str">
            <v xml:space="preserve">عملاء كاش </v>
          </cell>
          <cell r="D1597" t="str">
            <v>Reham Maher</v>
          </cell>
        </row>
        <row r="1598">
          <cell r="A1598" t="str">
            <v>Zero Sugar Cafe</v>
          </cell>
          <cell r="B1598" t="str">
            <v>Horeca Smart</v>
          </cell>
          <cell r="C1598" t="str">
            <v xml:space="preserve">عملاء كاش </v>
          </cell>
          <cell r="D1598" t="str">
            <v>Mona Mohamed</v>
          </cell>
        </row>
        <row r="1599">
          <cell r="A1599" t="str">
            <v>Zero crepe</v>
          </cell>
          <cell r="B1599" t="str">
            <v>Horeca Smart</v>
          </cell>
          <cell r="C1599" t="str">
            <v xml:space="preserve">عملاء كاش </v>
          </cell>
          <cell r="D1599" t="str">
            <v>Mona Mohamed</v>
          </cell>
        </row>
        <row r="1600">
          <cell r="A1600" t="str">
            <v>Zico fast food</v>
          </cell>
          <cell r="B1600" t="str">
            <v>Horeca Smart</v>
          </cell>
          <cell r="C1600" t="str">
            <v xml:space="preserve">عملاء كاش </v>
          </cell>
          <cell r="D1600" t="str">
            <v>Naden Amgad</v>
          </cell>
        </row>
        <row r="1601">
          <cell r="A1601" t="str">
            <v>Zohour Mohamed</v>
          </cell>
          <cell r="C1601" t="str">
            <v>موظفين</v>
          </cell>
          <cell r="D1601" t="str">
            <v>Abdullah Mahmoud</v>
          </cell>
        </row>
        <row r="1602">
          <cell r="A1602" t="str">
            <v>Zoomba</v>
          </cell>
          <cell r="B1602" t="str">
            <v>Horeca Smart</v>
          </cell>
          <cell r="C1602" t="str">
            <v xml:space="preserve">عملاء كاش </v>
          </cell>
          <cell r="D1602" t="str">
            <v>Naden Amgad</v>
          </cell>
        </row>
        <row r="1603">
          <cell r="A1603" t="str">
            <v>abd-rabouh monjeny</v>
          </cell>
        </row>
        <row r="1604">
          <cell r="A1604" t="str">
            <v>abozar</v>
          </cell>
        </row>
        <row r="1605">
          <cell r="A1605" t="str">
            <v>ahmed adel</v>
          </cell>
          <cell r="C1605" t="str">
            <v>موظفين</v>
          </cell>
        </row>
        <row r="1606">
          <cell r="A1606" t="str">
            <v>ahmed agaty</v>
          </cell>
        </row>
        <row r="1607">
          <cell r="A1607" t="str">
            <v>ahmed alaa</v>
          </cell>
          <cell r="C1607" t="str">
            <v>موظفين</v>
          </cell>
        </row>
        <row r="1608">
          <cell r="A1608" t="str">
            <v>ahmed gamal</v>
          </cell>
        </row>
        <row r="1609">
          <cell r="A1609" t="str">
            <v>ali mahmoud</v>
          </cell>
        </row>
        <row r="1610">
          <cell r="A1610" t="str">
            <v>app</v>
          </cell>
        </row>
        <row r="1611">
          <cell r="A1611" t="str">
            <v>app</v>
          </cell>
        </row>
        <row r="1612">
          <cell r="A1612" t="str">
            <v>big bash Cafe</v>
          </cell>
          <cell r="B1612" t="str">
            <v>Horeca Smart</v>
          </cell>
          <cell r="C1612" t="str">
            <v xml:space="preserve">عملاء كاش </v>
          </cell>
          <cell r="D1612" t="str">
            <v>Mona Mohamed</v>
          </cell>
        </row>
        <row r="1613">
          <cell r="A1613" t="str">
            <v>bshoi</v>
          </cell>
        </row>
        <row r="1614">
          <cell r="A1614" t="str">
            <v>cavallo, cavallo, Children's garden</v>
          </cell>
          <cell r="B1614" t="str">
            <v>Horeca Smart</v>
          </cell>
          <cell r="C1614" t="str">
            <v xml:space="preserve">عملاء كاش </v>
          </cell>
          <cell r="D1614" t="str">
            <v>Donia Khaled</v>
          </cell>
        </row>
        <row r="1615">
          <cell r="A1615" t="str">
            <v>cavallo, cavallo, مدينة نصر</v>
          </cell>
          <cell r="B1615" t="str">
            <v>Horeca Smart</v>
          </cell>
          <cell r="C1615" t="str">
            <v xml:space="preserve">عملاء كاش </v>
          </cell>
          <cell r="D1615" t="str">
            <v>Donia Khaled</v>
          </cell>
        </row>
        <row r="1616">
          <cell r="A1616" t="str">
            <v>cavallo, cavallo, مصر الجديدة</v>
          </cell>
          <cell r="B1616" t="str">
            <v>Horeca Smart</v>
          </cell>
          <cell r="C1616" t="str">
            <v xml:space="preserve">عملاء كاش </v>
          </cell>
          <cell r="D1616" t="str">
            <v>Donia Khaled</v>
          </cell>
        </row>
        <row r="1617">
          <cell r="A1617" t="str">
            <v>central kitchen</v>
          </cell>
          <cell r="B1617" t="str">
            <v>Horeca Smart</v>
          </cell>
          <cell r="C1617" t="str">
            <v xml:space="preserve">عملاء كاش </v>
          </cell>
          <cell r="D1617" t="str">
            <v>Mona Mohamed</v>
          </cell>
        </row>
        <row r="1618">
          <cell r="A1618" t="str">
            <v>chefs house</v>
          </cell>
          <cell r="B1618" t="str">
            <v>Horeca Smart</v>
          </cell>
          <cell r="C1618" t="str">
            <v xml:space="preserve">عملاء كاش </v>
          </cell>
          <cell r="D1618" t="str">
            <v>Mona Mohamed</v>
          </cell>
        </row>
        <row r="1619">
          <cell r="A1619" t="str">
            <v>chicken plus</v>
          </cell>
          <cell r="B1619" t="str">
            <v>Horeca Smart</v>
          </cell>
          <cell r="C1619" t="str">
            <v xml:space="preserve">عملاء كاش </v>
          </cell>
          <cell r="D1619" t="str">
            <v>Mona Mohamed</v>
          </cell>
        </row>
        <row r="1620">
          <cell r="A1620" t="str">
            <v>city dounts</v>
          </cell>
          <cell r="B1620" t="str">
            <v>Horeca Smart</v>
          </cell>
          <cell r="C1620" t="str">
            <v xml:space="preserve">عملاء كاش </v>
          </cell>
          <cell r="D1620" t="str">
            <v>Mona Mohamed</v>
          </cell>
        </row>
        <row r="1621">
          <cell r="A1621" t="str">
            <v>crazy food Cafe&amp;Restaurant</v>
          </cell>
          <cell r="B1621" t="str">
            <v>Horeca Smart</v>
          </cell>
          <cell r="C1621" t="str">
            <v xml:space="preserve">عملاء كاش </v>
          </cell>
          <cell r="D1621" t="str">
            <v>Mona Mohamed</v>
          </cell>
        </row>
        <row r="1622">
          <cell r="A1622" t="str">
            <v>emad</v>
          </cell>
        </row>
        <row r="1623">
          <cell r="A1623" t="str">
            <v>espresso perfetto</v>
          </cell>
          <cell r="B1623" t="str">
            <v>Horeca Smart</v>
          </cell>
          <cell r="C1623" t="str">
            <v xml:space="preserve">عملاء كاش </v>
          </cell>
          <cell r="D1623" t="str">
            <v>Mona Mohamed</v>
          </cell>
        </row>
        <row r="1624">
          <cell r="A1624" t="str">
            <v>fahd's Cafe</v>
          </cell>
          <cell r="B1624" t="str">
            <v>Horeca Smart</v>
          </cell>
          <cell r="C1624" t="str">
            <v xml:space="preserve">عملاء كاش </v>
          </cell>
          <cell r="D1624" t="str">
            <v>Mona Mohamed</v>
          </cell>
        </row>
        <row r="1625">
          <cell r="A1625" t="str">
            <v>faqra</v>
          </cell>
          <cell r="B1625" t="str">
            <v>Horeca Smart</v>
          </cell>
          <cell r="C1625" t="str">
            <v xml:space="preserve">عملاء كاش </v>
          </cell>
          <cell r="D1625" t="str">
            <v>Mona Mohamed</v>
          </cell>
        </row>
        <row r="1626">
          <cell r="A1626" t="str">
            <v>firefly Bakery</v>
          </cell>
          <cell r="B1626" t="str">
            <v>Horeca Smart</v>
          </cell>
          <cell r="C1626" t="str">
            <v xml:space="preserve">عملاء كاش </v>
          </cell>
          <cell r="D1626" t="str">
            <v>Mona Mohamed</v>
          </cell>
        </row>
        <row r="1627">
          <cell r="A1627" t="str">
            <v>flippin burger</v>
          </cell>
          <cell r="B1627" t="str">
            <v>Horeca Smart</v>
          </cell>
          <cell r="C1627" t="str">
            <v xml:space="preserve">عملاء كاش </v>
          </cell>
          <cell r="D1627" t="str">
            <v>Lames Magdy</v>
          </cell>
        </row>
        <row r="1628">
          <cell r="A1628" t="str">
            <v>formasa</v>
          </cell>
          <cell r="B1628" t="str">
            <v>Horeca Smart</v>
          </cell>
          <cell r="C1628" t="str">
            <v xml:space="preserve">عملاء كاش </v>
          </cell>
          <cell r="D1628" t="str">
            <v>Mona Mohamed</v>
          </cell>
        </row>
        <row r="1629">
          <cell r="A1629" t="str">
            <v>gravity</v>
          </cell>
          <cell r="B1629" t="str">
            <v>Horeca Smart</v>
          </cell>
          <cell r="C1629" t="str">
            <v xml:space="preserve">عملاء كاش </v>
          </cell>
          <cell r="D1629" t="str">
            <v>Mona Mohamed</v>
          </cell>
        </row>
        <row r="1630">
          <cell r="A1630" t="str">
            <v>ichiban asian food</v>
          </cell>
          <cell r="B1630" t="str">
            <v>Horeca Smart</v>
          </cell>
          <cell r="C1630" t="str">
            <v xml:space="preserve">عملاء كاش </v>
          </cell>
          <cell r="D1630" t="str">
            <v>Reham Maher</v>
          </cell>
        </row>
        <row r="1631">
          <cell r="A1631" t="str">
            <v>ifico masr</v>
          </cell>
          <cell r="B1631" t="str">
            <v>MAS</v>
          </cell>
          <cell r="C1631" t="str">
            <v>موردين كاش</v>
          </cell>
          <cell r="D1631" t="str">
            <v>Amgad Ahmed</v>
          </cell>
        </row>
        <row r="1632">
          <cell r="A1632" t="str">
            <v>insta cafe</v>
          </cell>
          <cell r="B1632" t="str">
            <v>Horeca Smart</v>
          </cell>
          <cell r="C1632" t="str">
            <v xml:space="preserve">عملاء كاش </v>
          </cell>
          <cell r="D1632" t="str">
            <v>Mona Mohamed</v>
          </cell>
        </row>
        <row r="1633">
          <cell r="A1633" t="str">
            <v>islam Mahmoud</v>
          </cell>
          <cell r="C1633" t="str">
            <v>موظفين</v>
          </cell>
        </row>
        <row r="1634">
          <cell r="A1634" t="str">
            <v>jamba caffe</v>
          </cell>
          <cell r="B1634" t="str">
            <v>Horeca Smart</v>
          </cell>
          <cell r="C1634" t="str">
            <v xml:space="preserve">عملاء كاش </v>
          </cell>
          <cell r="D1634" t="str">
            <v>Reham Maher</v>
          </cell>
        </row>
        <row r="1635">
          <cell r="A1635" t="str">
            <v>just smash</v>
          </cell>
          <cell r="B1635" t="str">
            <v>Horeca Smart</v>
          </cell>
          <cell r="C1635" t="str">
            <v xml:space="preserve">عملاء كاش </v>
          </cell>
          <cell r="D1635" t="str">
            <v>Naden Amgad</v>
          </cell>
        </row>
        <row r="1636">
          <cell r="A1636" t="str">
            <v>karoke cafe</v>
          </cell>
          <cell r="B1636" t="str">
            <v>Horeca Smart</v>
          </cell>
          <cell r="C1636" t="str">
            <v xml:space="preserve">عملاء كاش </v>
          </cell>
          <cell r="D1636" t="str">
            <v>Naden Amgad</v>
          </cell>
        </row>
        <row r="1637">
          <cell r="A1637" t="str">
            <v>khf for food industries</v>
          </cell>
          <cell r="B1637" t="str">
            <v>Horeca Smart</v>
          </cell>
          <cell r="C1637" t="str">
            <v xml:space="preserve">عملاء كاش </v>
          </cell>
          <cell r="D1637" t="str">
            <v>Mona Mohamed</v>
          </cell>
        </row>
        <row r="1638">
          <cell r="A1638" t="str">
            <v>kiss pizza</v>
          </cell>
          <cell r="B1638" t="str">
            <v>Horeca Smart</v>
          </cell>
          <cell r="C1638" t="str">
            <v xml:space="preserve">عملاء كاش </v>
          </cell>
          <cell r="D1638" t="str">
            <v>Mona Mohamed</v>
          </cell>
        </row>
        <row r="1639">
          <cell r="A1639" t="str">
            <v>knowhere cafe</v>
          </cell>
          <cell r="B1639" t="str">
            <v>Horeca Smart</v>
          </cell>
          <cell r="C1639" t="str">
            <v xml:space="preserve">عملاء كاش </v>
          </cell>
          <cell r="D1639" t="str">
            <v>Mona Mohamed</v>
          </cell>
        </row>
        <row r="1640">
          <cell r="A1640" t="str">
            <v>lazu Restaurant</v>
          </cell>
          <cell r="B1640" t="str">
            <v>Horeca Smart</v>
          </cell>
          <cell r="C1640" t="str">
            <v xml:space="preserve">عملاء كاش </v>
          </cell>
          <cell r="D1640" t="str">
            <v>Mona Mohamed</v>
          </cell>
        </row>
        <row r="1641">
          <cell r="A1641" t="str">
            <v>lcs mina</v>
          </cell>
          <cell r="B1641" t="str">
            <v>Horeca Smart</v>
          </cell>
          <cell r="C1641" t="str">
            <v xml:space="preserve">عملاء كاش </v>
          </cell>
          <cell r="D1641" t="str">
            <v>Mona Mohamed</v>
          </cell>
        </row>
        <row r="1642">
          <cell r="A1642" t="str">
            <v>le croissant</v>
          </cell>
          <cell r="B1642" t="str">
            <v>Horeca Smart</v>
          </cell>
          <cell r="C1642" t="str">
            <v xml:space="preserve">عملاء كاش </v>
          </cell>
          <cell r="D1642" t="str">
            <v>Naden Amgad</v>
          </cell>
        </row>
        <row r="1643">
          <cell r="A1643" t="str">
            <v>lets met</v>
          </cell>
          <cell r="B1643" t="str">
            <v>Horeca Smart</v>
          </cell>
          <cell r="C1643" t="str">
            <v xml:space="preserve">عملاء كاش </v>
          </cell>
          <cell r="D1643" t="str">
            <v>Mona Mohamed</v>
          </cell>
        </row>
        <row r="1644">
          <cell r="A1644" t="str">
            <v>level coffee</v>
          </cell>
          <cell r="B1644" t="str">
            <v>Horeca Smart</v>
          </cell>
          <cell r="C1644" t="str">
            <v xml:space="preserve">عملاء كاش </v>
          </cell>
          <cell r="D1644" t="str">
            <v>Mona Mohamed</v>
          </cell>
        </row>
        <row r="1645">
          <cell r="A1645" t="str">
            <v>lily's cafe, lily's cafe, 6 اكتوبر</v>
          </cell>
          <cell r="B1645" t="str">
            <v>Horeca Smart</v>
          </cell>
          <cell r="C1645" t="str">
            <v xml:space="preserve">عملاء كاش </v>
          </cell>
          <cell r="D1645" t="str">
            <v>Naden Amgad</v>
          </cell>
        </row>
        <row r="1646">
          <cell r="A1646" t="str">
            <v>lily's cafe, lily's cafe, نادي الصيد</v>
          </cell>
          <cell r="B1646" t="str">
            <v>Horeca Smart</v>
          </cell>
          <cell r="C1646" t="str">
            <v xml:space="preserve">عملاء كاش </v>
          </cell>
          <cell r="D1646" t="str">
            <v>Naden Amgad</v>
          </cell>
        </row>
        <row r="1647">
          <cell r="A1647" t="str">
            <v>little Tokyo calra</v>
          </cell>
          <cell r="B1647" t="str">
            <v>Horeca Smart</v>
          </cell>
          <cell r="C1647" t="str">
            <v xml:space="preserve">عملاء كاش </v>
          </cell>
          <cell r="D1647" t="str">
            <v>Mona Mohamed</v>
          </cell>
        </row>
        <row r="1648">
          <cell r="A1648" t="str">
            <v>m salah</v>
          </cell>
          <cell r="C1648" t="str">
            <v>موظفين</v>
          </cell>
        </row>
        <row r="1649">
          <cell r="A1649" t="str">
            <v>mahmoud sayed</v>
          </cell>
        </row>
        <row r="1650">
          <cell r="A1650" t="str">
            <v>matrx kettering</v>
          </cell>
          <cell r="B1650" t="str">
            <v>Horeca Smart</v>
          </cell>
          <cell r="C1650" t="str">
            <v xml:space="preserve">عملاء كاش </v>
          </cell>
          <cell r="D1650" t="str">
            <v>Mona Mohamed</v>
          </cell>
        </row>
        <row r="1651">
          <cell r="A1651" t="str">
            <v>mazmza Restaurant</v>
          </cell>
          <cell r="B1651" t="str">
            <v>Horeca Smart</v>
          </cell>
          <cell r="C1651" t="str">
            <v xml:space="preserve">عملاء كاش </v>
          </cell>
          <cell r="D1651" t="str">
            <v>Naden Amgad</v>
          </cell>
        </row>
        <row r="1652">
          <cell r="A1652" t="str">
            <v>mohamed abd-elhamed farahat</v>
          </cell>
        </row>
        <row r="1653">
          <cell r="A1653" t="str">
            <v>mohamed fathy</v>
          </cell>
        </row>
        <row r="1654">
          <cell r="A1654" t="str">
            <v>mohamed gamal delivery</v>
          </cell>
          <cell r="C1654" t="str">
            <v>موظفين</v>
          </cell>
        </row>
        <row r="1655">
          <cell r="A1655" t="str">
            <v>mohamed mostafa</v>
          </cell>
        </row>
        <row r="1656">
          <cell r="A1656" t="str">
            <v>moka cafe</v>
          </cell>
          <cell r="B1656" t="str">
            <v>Horeca Smart</v>
          </cell>
          <cell r="C1656" t="str">
            <v xml:space="preserve">عملاء كاش </v>
          </cell>
          <cell r="D1656" t="str">
            <v>Mona Mohamed</v>
          </cell>
        </row>
        <row r="1657">
          <cell r="A1657" t="str">
            <v>mostafa adel</v>
          </cell>
        </row>
        <row r="1658">
          <cell r="A1658" t="str">
            <v>mostafa hosney</v>
          </cell>
        </row>
        <row r="1659">
          <cell r="A1659" t="str">
            <v>multi playstation</v>
          </cell>
          <cell r="B1659" t="str">
            <v>Horeca Smart</v>
          </cell>
          <cell r="C1659" t="str">
            <v xml:space="preserve">عملاء كاش </v>
          </cell>
          <cell r="D1659" t="str">
            <v>Mona Mohamed</v>
          </cell>
        </row>
        <row r="1660">
          <cell r="A1660" t="str">
            <v>mumble</v>
          </cell>
          <cell r="B1660" t="str">
            <v>Horeca Smart</v>
          </cell>
          <cell r="C1660" t="str">
            <v xml:space="preserve">عملاء كاش </v>
          </cell>
          <cell r="D1660" t="str">
            <v>Mona Mohamed</v>
          </cell>
        </row>
        <row r="1661">
          <cell r="A1661" t="str">
            <v>nanas</v>
          </cell>
          <cell r="B1661" t="str">
            <v>Horeca Smart</v>
          </cell>
          <cell r="C1661" t="str">
            <v xml:space="preserve">عملاء كاش </v>
          </cell>
          <cell r="D1661" t="str">
            <v>Naden Amgad</v>
          </cell>
        </row>
        <row r="1662">
          <cell r="A1662" t="str">
            <v>parshelto</v>
          </cell>
          <cell r="B1662" t="str">
            <v>Horeca Smart</v>
          </cell>
          <cell r="C1662" t="str">
            <v xml:space="preserve">عملاء كاش </v>
          </cell>
          <cell r="D1662" t="str">
            <v>Reham Maher</v>
          </cell>
        </row>
        <row r="1663">
          <cell r="A1663" t="str">
            <v>piatia Cafe&amp;Restaurant</v>
          </cell>
          <cell r="B1663" t="str">
            <v>Horeca Smart</v>
          </cell>
          <cell r="C1663" t="str">
            <v xml:space="preserve">عملاء كاش </v>
          </cell>
          <cell r="D1663" t="str">
            <v>Reham Maher</v>
          </cell>
        </row>
        <row r="1664">
          <cell r="A1664" t="str">
            <v>pizza land</v>
          </cell>
          <cell r="B1664" t="str">
            <v>Horeca Smart</v>
          </cell>
          <cell r="C1664" t="str">
            <v xml:space="preserve">عملاء كاش </v>
          </cell>
          <cell r="D1664" t="str">
            <v>Reham Maher</v>
          </cell>
        </row>
        <row r="1665">
          <cell r="A1665" t="str">
            <v>puzzle</v>
          </cell>
          <cell r="B1665" t="str">
            <v>Horeca Smart</v>
          </cell>
          <cell r="C1665" t="str">
            <v xml:space="preserve">عملاء كاش </v>
          </cell>
          <cell r="D1665" t="str">
            <v>Reham Maher</v>
          </cell>
        </row>
        <row r="1666">
          <cell r="A1666" t="str">
            <v>qasid karim</v>
          </cell>
          <cell r="B1666" t="str">
            <v>Horeca Smart</v>
          </cell>
          <cell r="C1666" t="str">
            <v xml:space="preserve">عملاء كاش </v>
          </cell>
          <cell r="D1666" t="str">
            <v>Mona Mohamed</v>
          </cell>
        </row>
        <row r="1667">
          <cell r="A1667" t="str">
            <v>royal land</v>
          </cell>
          <cell r="B1667" t="str">
            <v>Horeca Smart</v>
          </cell>
          <cell r="C1667" t="str">
            <v xml:space="preserve">عملاء كاش </v>
          </cell>
          <cell r="D1667" t="str">
            <v>Naden Amgad</v>
          </cell>
        </row>
        <row r="1668">
          <cell r="A1668" t="str">
            <v>see you</v>
          </cell>
          <cell r="B1668" t="str">
            <v>Horeca Smart</v>
          </cell>
          <cell r="C1668" t="str">
            <v xml:space="preserve">عملاء كاش </v>
          </cell>
          <cell r="D1668" t="str">
            <v>Mona Mohamed</v>
          </cell>
        </row>
        <row r="1669">
          <cell r="A1669" t="str">
            <v>shawarma hub</v>
          </cell>
          <cell r="B1669" t="str">
            <v>Horeca Smart</v>
          </cell>
          <cell r="C1669" t="str">
            <v xml:space="preserve">عملاء كاش </v>
          </cell>
          <cell r="D1669" t="str">
            <v>Mona Mohamed</v>
          </cell>
        </row>
        <row r="1670">
          <cell r="A1670" t="str">
            <v>shawarma street</v>
          </cell>
          <cell r="B1670" t="str">
            <v>Horeca Smart</v>
          </cell>
          <cell r="C1670" t="str">
            <v xml:space="preserve">عملاء كاش </v>
          </cell>
          <cell r="D1670" t="str">
            <v>Donia Khaled</v>
          </cell>
        </row>
        <row r="1671">
          <cell r="A1671" t="str">
            <v>shrimp zone</v>
          </cell>
          <cell r="B1671" t="str">
            <v>Horeca Smart</v>
          </cell>
          <cell r="C1671" t="str">
            <v xml:space="preserve">عملاء كاش </v>
          </cell>
          <cell r="D1671" t="str">
            <v>Naden Amgad</v>
          </cell>
        </row>
        <row r="1672">
          <cell r="A1672" t="str">
            <v>sizzler</v>
          </cell>
          <cell r="B1672" t="str">
            <v>Horeca Smart</v>
          </cell>
          <cell r="C1672" t="str">
            <v xml:space="preserve">عملاء كاش </v>
          </cell>
          <cell r="D1672" t="str">
            <v>Mona Mohamed</v>
          </cell>
        </row>
        <row r="1673">
          <cell r="A1673" t="str">
            <v>streets treats</v>
          </cell>
          <cell r="B1673" t="str">
            <v>Horeca Smart</v>
          </cell>
          <cell r="C1673" t="str">
            <v xml:space="preserve">عملاء كاش </v>
          </cell>
          <cell r="D1673" t="str">
            <v>Mona Mohamed</v>
          </cell>
        </row>
        <row r="1674">
          <cell r="A1674" t="str">
            <v>super tasty</v>
          </cell>
          <cell r="B1674" t="str">
            <v>Horeca Smart</v>
          </cell>
          <cell r="C1674" t="str">
            <v xml:space="preserve">عملاء كاش </v>
          </cell>
          <cell r="D1674" t="str">
            <v>Mona Mohamed</v>
          </cell>
        </row>
        <row r="1675">
          <cell r="A1675" t="str">
            <v>suser</v>
          </cell>
        </row>
        <row r="1676">
          <cell r="A1676" t="str">
            <v>sushi picks</v>
          </cell>
          <cell r="B1676" t="str">
            <v>Horeca Smart</v>
          </cell>
          <cell r="C1676" t="str">
            <v xml:space="preserve">عملاء كاش </v>
          </cell>
          <cell r="D1676" t="str">
            <v>Naden Amgad</v>
          </cell>
        </row>
        <row r="1677">
          <cell r="A1677" t="str">
            <v>swiss corner</v>
          </cell>
          <cell r="B1677" t="str">
            <v>Horeca Smart</v>
          </cell>
          <cell r="C1677" t="str">
            <v xml:space="preserve">عملاء كاش </v>
          </cell>
          <cell r="D1677" t="str">
            <v>Reham Maher</v>
          </cell>
        </row>
        <row r="1678">
          <cell r="A1678" t="str">
            <v>tokyo sushi</v>
          </cell>
          <cell r="B1678" t="str">
            <v>Horeca Smart</v>
          </cell>
          <cell r="C1678" t="str">
            <v xml:space="preserve">عملاء كاش </v>
          </cell>
          <cell r="D1678" t="str">
            <v>Reham Maher</v>
          </cell>
        </row>
        <row r="1679">
          <cell r="A1679" t="str">
            <v>u tern</v>
          </cell>
          <cell r="B1679" t="str">
            <v>Horeca Smart</v>
          </cell>
          <cell r="C1679" t="str">
            <v xml:space="preserve">عملاء كاش </v>
          </cell>
          <cell r="D1679" t="str">
            <v>Mona Mohamed</v>
          </cell>
        </row>
        <row r="1680">
          <cell r="A1680" t="str">
            <v>valentino</v>
          </cell>
          <cell r="B1680" t="str">
            <v>Horeca Smart</v>
          </cell>
          <cell r="C1680" t="str">
            <v xml:space="preserve">عملاء كاش </v>
          </cell>
          <cell r="D1680" t="str">
            <v>Mona Mohamed</v>
          </cell>
        </row>
        <row r="1681">
          <cell r="A1681" t="str">
            <v>villa</v>
          </cell>
          <cell r="B1681" t="str">
            <v>Horeca Smart</v>
          </cell>
          <cell r="C1681" t="str">
            <v xml:space="preserve">عملاء كاش </v>
          </cell>
          <cell r="D1681" t="str">
            <v>Reham Maher</v>
          </cell>
        </row>
        <row r="1682">
          <cell r="A1682" t="str">
            <v>volga</v>
          </cell>
          <cell r="B1682" t="str">
            <v>Horeca Smart</v>
          </cell>
          <cell r="C1682" t="str">
            <v xml:space="preserve">عملاء كاش </v>
          </cell>
          <cell r="D1682" t="str">
            <v>Mona Mohamed</v>
          </cell>
        </row>
        <row r="1683">
          <cell r="A1683" t="str">
            <v>way out import &amp; export</v>
          </cell>
          <cell r="B1683" t="str">
            <v>Horeca Smart</v>
          </cell>
          <cell r="C1683" t="str">
            <v xml:space="preserve">عملاء كاش </v>
          </cell>
          <cell r="D1683" t="str">
            <v>Mona Mohamed</v>
          </cell>
        </row>
        <row r="1684">
          <cell r="A1684" t="str">
            <v>wegz fried chicken</v>
          </cell>
          <cell r="B1684" t="str">
            <v>Horeca Smart</v>
          </cell>
          <cell r="C1684" t="str">
            <v xml:space="preserve">عملاء كاش </v>
          </cell>
          <cell r="D1684" t="str">
            <v>Naden Amgad</v>
          </cell>
        </row>
        <row r="1685">
          <cell r="A1685" t="str">
            <v>wingstick</v>
          </cell>
          <cell r="B1685" t="str">
            <v>Horeca Smart</v>
          </cell>
          <cell r="C1685" t="str">
            <v xml:space="preserve">عملاء كاش </v>
          </cell>
          <cell r="D1685" t="str">
            <v>Mona Mohamed</v>
          </cell>
        </row>
        <row r="1686">
          <cell r="A1686" t="str">
            <v>yasmin osama</v>
          </cell>
          <cell r="C1686" t="str">
            <v>موظفين</v>
          </cell>
        </row>
        <row r="1687">
          <cell r="A1687" t="str">
            <v>yasmin osama</v>
          </cell>
        </row>
        <row r="1688">
          <cell r="A1688" t="str">
            <v>yellow mart Cafe</v>
          </cell>
          <cell r="B1688" t="str">
            <v>Horeca Smart</v>
          </cell>
          <cell r="C1688" t="str">
            <v xml:space="preserve">عملاء كاش </v>
          </cell>
          <cell r="D1688" t="str">
            <v>Mona Mohamed</v>
          </cell>
        </row>
        <row r="1689">
          <cell r="A1689" t="str">
            <v>yousef mohamed</v>
          </cell>
        </row>
        <row r="1690">
          <cell r="A1690" t="str">
            <v>yousef saad</v>
          </cell>
        </row>
        <row r="1691">
          <cell r="A1691" t="str">
            <v>zio marco</v>
          </cell>
          <cell r="B1691" t="str">
            <v>Horeca Smart</v>
          </cell>
          <cell r="C1691" t="str">
            <v xml:space="preserve">عملاء كاش </v>
          </cell>
          <cell r="D1691" t="str">
            <v>Mona Mohamed</v>
          </cell>
        </row>
        <row r="1692">
          <cell r="A1692" t="str">
            <v>أبو سليم</v>
          </cell>
          <cell r="B1692" t="str">
            <v>Horeca Smart</v>
          </cell>
          <cell r="C1692" t="str">
            <v xml:space="preserve">عملاء كاش </v>
          </cell>
          <cell r="D1692" t="str">
            <v>Rasha Hassan</v>
          </cell>
        </row>
        <row r="1693">
          <cell r="A1693" t="str">
            <v>أدمز وير</v>
          </cell>
          <cell r="B1693" t="str">
            <v>MAS</v>
          </cell>
          <cell r="C1693" t="str">
            <v xml:space="preserve">عملاء كاش </v>
          </cell>
          <cell r="D1693" t="str">
            <v>Haddil Haron</v>
          </cell>
        </row>
        <row r="1694">
          <cell r="A1694" t="str">
            <v>أسماك مراكبي-6 اكتوبر</v>
          </cell>
          <cell r="B1694" t="str">
            <v>Horeca Smart</v>
          </cell>
          <cell r="C1694" t="str">
            <v xml:space="preserve">عملاء كاش </v>
          </cell>
          <cell r="D1694" t="str">
            <v>Naden Amgad</v>
          </cell>
        </row>
        <row r="1695">
          <cell r="A1695" t="str">
            <v>أسواق الروبي</v>
          </cell>
          <cell r="B1695" t="str">
            <v>Horeca Smart</v>
          </cell>
          <cell r="C1695" t="str">
            <v xml:space="preserve">عملاء كاش </v>
          </cell>
          <cell r="D1695" t="str">
            <v>Mona Mohamed</v>
          </cell>
        </row>
        <row r="1696">
          <cell r="A1696" t="str">
            <v>أسواق عجبان</v>
          </cell>
          <cell r="B1696" t="str">
            <v>Horeca Smart</v>
          </cell>
          <cell r="C1696" t="str">
            <v xml:space="preserve">عملاء كاش </v>
          </cell>
          <cell r="D1696" t="str">
            <v>Mona Mohamed</v>
          </cell>
        </row>
        <row r="1697">
          <cell r="A1697" t="str">
            <v>أشرف ناجي</v>
          </cell>
          <cell r="B1697" t="str">
            <v>MAS</v>
          </cell>
          <cell r="C1697" t="str">
            <v>موردين كاش</v>
          </cell>
          <cell r="D1697" t="str">
            <v>Amgad Ahmed</v>
          </cell>
        </row>
        <row r="1698">
          <cell r="A1698" t="str">
            <v>أكل وبحلقه</v>
          </cell>
          <cell r="B1698" t="str">
            <v>Horeca Smart</v>
          </cell>
          <cell r="C1698" t="str">
            <v xml:space="preserve">عملاء كاش </v>
          </cell>
          <cell r="D1698" t="str">
            <v>Mona Mohamed</v>
          </cell>
        </row>
        <row r="1699">
          <cell r="A1699" t="str">
            <v>أكلة جمبري</v>
          </cell>
          <cell r="B1699" t="str">
            <v>Horeca Smart</v>
          </cell>
          <cell r="C1699" t="str">
            <v xml:space="preserve">عملاء كاش </v>
          </cell>
          <cell r="D1699" t="str">
            <v>Mona Mohamed</v>
          </cell>
        </row>
        <row r="1700">
          <cell r="A1700" t="str">
            <v>أكلة سمك</v>
          </cell>
          <cell r="B1700" t="str">
            <v>Horeca Smart</v>
          </cell>
          <cell r="C1700" t="str">
            <v xml:space="preserve">عملاء كاش </v>
          </cell>
          <cell r="D1700" t="str">
            <v>Naden Amgad</v>
          </cell>
        </row>
        <row r="1701">
          <cell r="A1701" t="str">
            <v>أكلة سمك, أكلة سمك, اكتوبر</v>
          </cell>
          <cell r="B1701" t="str">
            <v>Horeca Smart</v>
          </cell>
          <cell r="C1701" t="str">
            <v xml:space="preserve">عملاء كاش </v>
          </cell>
          <cell r="D1701" t="str">
            <v>Naden Amgad</v>
          </cell>
        </row>
        <row r="1702">
          <cell r="A1702" t="str">
            <v>أكلة سمك, أكلة سمك, التجمع</v>
          </cell>
          <cell r="B1702" t="str">
            <v>Horeca Smart</v>
          </cell>
          <cell r="C1702" t="str">
            <v xml:space="preserve">عملاء كاش </v>
          </cell>
          <cell r="D1702" t="str">
            <v>Mona Mohamed</v>
          </cell>
        </row>
        <row r="1703">
          <cell r="A1703" t="str">
            <v>أكلة سمك, أكلة سمك, العبور</v>
          </cell>
          <cell r="B1703" t="str">
            <v>Horeca Smart</v>
          </cell>
          <cell r="C1703" t="str">
            <v xml:space="preserve">عملاء كاش </v>
          </cell>
          <cell r="D1703" t="str">
            <v>Mona Mohamed</v>
          </cell>
        </row>
        <row r="1704">
          <cell r="A1704" t="str">
            <v>أكلة سمك, أكلة سمك, اوسيم</v>
          </cell>
          <cell r="B1704" t="str">
            <v>Horeca Smart</v>
          </cell>
          <cell r="C1704" t="str">
            <v xml:space="preserve">عملاء كاش </v>
          </cell>
          <cell r="D1704" t="str">
            <v>Naden Amgad</v>
          </cell>
        </row>
        <row r="1705">
          <cell r="A1705" t="str">
            <v>أهل الكرم</v>
          </cell>
          <cell r="B1705" t="str">
            <v>Horeca Smart</v>
          </cell>
          <cell r="C1705" t="str">
            <v xml:space="preserve">عملاء كاش </v>
          </cell>
          <cell r="D1705" t="str">
            <v>Reham Maher</v>
          </cell>
        </row>
        <row r="1706">
          <cell r="A1706" t="str">
            <v>أيه حلويات</v>
          </cell>
          <cell r="B1706" t="str">
            <v>Horeca Smart</v>
          </cell>
          <cell r="C1706" t="str">
            <v xml:space="preserve">عملاء كاش </v>
          </cell>
          <cell r="D1706" t="str">
            <v>Mona Mohamed</v>
          </cell>
        </row>
        <row r="1707">
          <cell r="A1707" t="str">
            <v>إطعام الخير</v>
          </cell>
          <cell r="B1707" t="str">
            <v>Horeca Smart</v>
          </cell>
          <cell r="C1707" t="str">
            <v xml:space="preserve">عملاء كاش </v>
          </cell>
          <cell r="D1707" t="str">
            <v>Mona Mohamed</v>
          </cell>
        </row>
        <row r="1708">
          <cell r="A1708" t="str">
            <v>إيطاليانو 1</v>
          </cell>
          <cell r="B1708" t="str">
            <v>Horeca Smart</v>
          </cell>
          <cell r="C1708" t="str">
            <v xml:space="preserve">عملاء كاش </v>
          </cell>
          <cell r="D1708" t="str">
            <v>Reham Maher</v>
          </cell>
        </row>
        <row r="1709">
          <cell r="A1709" t="str">
            <v>ا.باشا</v>
          </cell>
          <cell r="B1709" t="str">
            <v>Horeca Smart</v>
          </cell>
          <cell r="C1709" t="str">
            <v xml:space="preserve">عملاء كاش </v>
          </cell>
          <cell r="D1709" t="str">
            <v>Reham Maher</v>
          </cell>
        </row>
        <row r="1710">
          <cell r="A1710" t="str">
            <v>اباوت ذا فوود للتوريدات</v>
          </cell>
          <cell r="B1710" t="str">
            <v>Horeca Smart</v>
          </cell>
          <cell r="C1710" t="str">
            <v xml:space="preserve">عملاء كاش </v>
          </cell>
          <cell r="D1710" t="str">
            <v>Naden Amgad</v>
          </cell>
        </row>
        <row r="1711">
          <cell r="A1711" t="str">
            <v>ابراهيم الطنبولي</v>
          </cell>
          <cell r="B1711" t="str">
            <v>MAS</v>
          </cell>
          <cell r="C1711" t="str">
            <v xml:space="preserve">عملاء كاش </v>
          </cell>
          <cell r="D1711" t="str">
            <v>Rasha Hassan</v>
          </cell>
        </row>
        <row r="1712">
          <cell r="A1712" t="str">
            <v>ابو الجود السوري</v>
          </cell>
          <cell r="B1712" t="str">
            <v>Horeca Smart</v>
          </cell>
          <cell r="C1712" t="str">
            <v xml:space="preserve">عملاء كاش </v>
          </cell>
          <cell r="D1712" t="str">
            <v>Mona Mohamed</v>
          </cell>
        </row>
        <row r="1713">
          <cell r="A1713" t="str">
            <v>ابو الشامات للمأكولات السورية</v>
          </cell>
          <cell r="B1713" t="str">
            <v>Horeca Smart</v>
          </cell>
          <cell r="C1713" t="str">
            <v xml:space="preserve">عملاء كاش </v>
          </cell>
          <cell r="D1713" t="str">
            <v>Mona Mohamed</v>
          </cell>
        </row>
        <row r="1714">
          <cell r="A1714" t="str">
            <v>ابو انس السورى</v>
          </cell>
          <cell r="B1714" t="str">
            <v>Horeca Smart</v>
          </cell>
          <cell r="C1714" t="str">
            <v xml:space="preserve">عملاء كاش </v>
          </cell>
          <cell r="D1714" t="str">
            <v>Mona Mohamed</v>
          </cell>
        </row>
        <row r="1715">
          <cell r="A1715" t="str">
            <v>ابو حديد شاورما</v>
          </cell>
          <cell r="B1715" t="str">
            <v>Horeca Smart</v>
          </cell>
          <cell r="C1715" t="str">
            <v xml:space="preserve">عملاء كاش </v>
          </cell>
          <cell r="D1715" t="str">
            <v>Mona Mohamed</v>
          </cell>
        </row>
        <row r="1716">
          <cell r="A1716" t="str">
            <v>ابو حمزه</v>
          </cell>
          <cell r="B1716" t="str">
            <v>Horeca Smart</v>
          </cell>
          <cell r="C1716" t="str">
            <v xml:space="preserve">عملاء كاش </v>
          </cell>
          <cell r="D1716" t="str">
            <v>Donia Khaled</v>
          </cell>
        </row>
        <row r="1717">
          <cell r="A1717" t="str">
            <v>ابو زين الشام</v>
          </cell>
          <cell r="B1717" t="str">
            <v>Horeca Smart</v>
          </cell>
          <cell r="C1717" t="str">
            <v xml:space="preserve">عملاء كاش </v>
          </cell>
          <cell r="D1717" t="str">
            <v>Mona Mohamed</v>
          </cell>
        </row>
        <row r="1718">
          <cell r="A1718" t="str">
            <v>ابو علي</v>
          </cell>
          <cell r="C1718" t="str">
            <v>موردين كاش</v>
          </cell>
          <cell r="D1718" t="str">
            <v>Amgad Ahmed</v>
          </cell>
        </row>
        <row r="1719">
          <cell r="A1719" t="str">
            <v>ابو عمار السوري</v>
          </cell>
          <cell r="B1719" t="str">
            <v>Horeca Smart</v>
          </cell>
          <cell r="C1719" t="str">
            <v xml:space="preserve">عملاء كاش </v>
          </cell>
          <cell r="D1719" t="str">
            <v>Naden Amgad</v>
          </cell>
        </row>
        <row r="1720">
          <cell r="A1720" t="str">
            <v>ابو عمر السوري</v>
          </cell>
          <cell r="B1720" t="str">
            <v>Horeca Smart</v>
          </cell>
          <cell r="C1720" t="str">
            <v xml:space="preserve">عملاء كاش </v>
          </cell>
          <cell r="D1720" t="str">
            <v>Donia Khaled</v>
          </cell>
        </row>
        <row r="1721">
          <cell r="A1721" t="str">
            <v>ابو نعمان السورى</v>
          </cell>
          <cell r="B1721" t="str">
            <v>Horeca Smart</v>
          </cell>
          <cell r="C1721" t="str">
            <v xml:space="preserve">عملاء كاش </v>
          </cell>
          <cell r="D1721" t="str">
            <v>Donia Khaled</v>
          </cell>
        </row>
        <row r="1722">
          <cell r="A1722" t="str">
            <v>ابو وليد</v>
          </cell>
          <cell r="C1722" t="str">
            <v>موردين كاش</v>
          </cell>
          <cell r="D1722" t="str">
            <v>Amgad Ahmed</v>
          </cell>
        </row>
        <row r="1723">
          <cell r="A1723" t="str">
            <v>اتفضل قهوة</v>
          </cell>
          <cell r="B1723" t="str">
            <v>Horeca Smart</v>
          </cell>
          <cell r="C1723" t="str">
            <v xml:space="preserve">عملاء كاش </v>
          </cell>
          <cell r="D1723" t="str">
            <v>Mona Mohamed</v>
          </cell>
        </row>
        <row r="1724">
          <cell r="A1724" t="str">
            <v>احمد حرفوش . دقيق جمله</v>
          </cell>
          <cell r="C1724" t="str">
            <v>موردين كاش</v>
          </cell>
          <cell r="D1724" t="str">
            <v>Amgad Ahmed</v>
          </cell>
        </row>
        <row r="1725">
          <cell r="A1725" t="str">
            <v>ادم الدمشقي</v>
          </cell>
          <cell r="B1725" t="str">
            <v>Horeca Smart</v>
          </cell>
          <cell r="C1725" t="str">
            <v xml:space="preserve">عملاء كاش </v>
          </cell>
          <cell r="D1725" t="str">
            <v>Donia Khaled</v>
          </cell>
        </row>
        <row r="1726">
          <cell r="A1726" t="str">
            <v>ار اتش دبليو لإدارة المطاعم والفنادق - Faruk Koçer 1963</v>
          </cell>
          <cell r="B1726" t="str">
            <v>Horeca Smart</v>
          </cell>
          <cell r="C1726" t="str">
            <v xml:space="preserve">عملاء كاش </v>
          </cell>
          <cell r="D1726" t="str">
            <v>Mona Mohamed</v>
          </cell>
        </row>
        <row r="1727">
          <cell r="A1727" t="str">
            <v>اربن بليت</v>
          </cell>
          <cell r="B1727" t="str">
            <v>Horeca Smart</v>
          </cell>
          <cell r="C1727" t="str">
            <v xml:space="preserve">عملاء كاش </v>
          </cell>
          <cell r="D1727" t="str">
            <v>Mona Mohamed</v>
          </cell>
        </row>
        <row r="1728">
          <cell r="A1728" t="str">
            <v>اسامه غانم -المنصوره</v>
          </cell>
          <cell r="B1728" t="str">
            <v>Horeca Smart</v>
          </cell>
          <cell r="C1728" t="str">
            <v>موردين كاش</v>
          </cell>
          <cell r="D1728" t="str">
            <v>Amgad Ahmed</v>
          </cell>
        </row>
        <row r="1729">
          <cell r="A1729" t="str">
            <v>اسبانيولا</v>
          </cell>
          <cell r="B1729" t="str">
            <v>Horeca Smart</v>
          </cell>
          <cell r="C1729" t="str">
            <v xml:space="preserve">عملاء كاش </v>
          </cell>
          <cell r="D1729" t="str">
            <v>Mona Mohamed</v>
          </cell>
        </row>
        <row r="1730">
          <cell r="A1730" t="str">
            <v>اسبريسو</v>
          </cell>
          <cell r="B1730" t="str">
            <v>Horeca Smart</v>
          </cell>
          <cell r="C1730" t="str">
            <v xml:space="preserve">عملاء كاش </v>
          </cell>
          <cell r="D1730" t="str">
            <v>Naden Amgad</v>
          </cell>
        </row>
        <row r="1731">
          <cell r="A1731" t="str">
            <v>اسبريسو, اسبريسو, شارع ترعة عبد العال</v>
          </cell>
          <cell r="B1731" t="str">
            <v>Horeca Smart</v>
          </cell>
          <cell r="C1731" t="str">
            <v xml:space="preserve">عملاء كاش </v>
          </cell>
          <cell r="D1731" t="str">
            <v>Naden Amgad</v>
          </cell>
        </row>
        <row r="1732">
          <cell r="A1732" t="str">
            <v>اسبريسو, اسبريسو, فيصل - شارع احمد ماهر</v>
          </cell>
          <cell r="B1732" t="str">
            <v>Horeca Smart</v>
          </cell>
          <cell r="C1732" t="str">
            <v xml:space="preserve">عملاء كاش </v>
          </cell>
          <cell r="D1732" t="str">
            <v>Naden Amgad</v>
          </cell>
        </row>
        <row r="1733">
          <cell r="A1733" t="str">
            <v>استاذ حسين مرزوق</v>
          </cell>
          <cell r="B1733" t="str">
            <v>Horeca Smart</v>
          </cell>
          <cell r="C1733" t="str">
            <v xml:space="preserve">عملاء كاش </v>
          </cell>
          <cell r="D1733" t="str">
            <v>Mona Mohamed</v>
          </cell>
        </row>
        <row r="1734">
          <cell r="A1734" t="str">
            <v>استاذ حمام</v>
          </cell>
          <cell r="B1734" t="str">
            <v>Horeca Smart</v>
          </cell>
          <cell r="C1734" t="str">
            <v xml:space="preserve">عملاء كاش </v>
          </cell>
          <cell r="D1734" t="str">
            <v>Mona Mohamed</v>
          </cell>
        </row>
        <row r="1735">
          <cell r="A1735" t="str">
            <v>استيك هاوس</v>
          </cell>
          <cell r="B1735" t="str">
            <v>Horeca Smart</v>
          </cell>
          <cell r="C1735" t="str">
            <v xml:space="preserve">عملاء كاش </v>
          </cell>
          <cell r="D1735" t="str">
            <v>Naden Amgad</v>
          </cell>
        </row>
        <row r="1736">
          <cell r="A1736" t="str">
            <v>اسكابي</v>
          </cell>
          <cell r="B1736" t="str">
            <v>Horeca Smart</v>
          </cell>
          <cell r="C1736" t="str">
            <v xml:space="preserve">عملاء كاش </v>
          </cell>
          <cell r="D1736" t="str">
            <v>Reham Maher</v>
          </cell>
        </row>
        <row r="1737">
          <cell r="A1737" t="str">
            <v>اسكندراني</v>
          </cell>
          <cell r="B1737" t="str">
            <v>Horeca Smart</v>
          </cell>
          <cell r="C1737" t="str">
            <v xml:space="preserve">عملاء كاش </v>
          </cell>
          <cell r="D1737" t="str">
            <v>Reham Maher</v>
          </cell>
        </row>
        <row r="1738">
          <cell r="A1738" t="str">
            <v>اسماك أبو قير</v>
          </cell>
          <cell r="B1738" t="str">
            <v>Horeca Smart</v>
          </cell>
          <cell r="C1738" t="str">
            <v xml:space="preserve">عملاء كاش </v>
          </cell>
          <cell r="D1738" t="str">
            <v>Mona Mohamed</v>
          </cell>
        </row>
        <row r="1739">
          <cell r="A1739" t="str">
            <v>اسماك ابن حميدو, اسماك ابن حميدو, المنطقة السادسة</v>
          </cell>
          <cell r="B1739" t="str">
            <v>Horeca Smart</v>
          </cell>
          <cell r="C1739" t="str">
            <v xml:space="preserve">عملاء كاش </v>
          </cell>
          <cell r="D1739" t="str">
            <v>Reham Maher</v>
          </cell>
        </row>
        <row r="1740">
          <cell r="A1740" t="str">
            <v>اسماك ابن حميدو, اسماك ابن حميدو, حي السفارات</v>
          </cell>
          <cell r="B1740" t="str">
            <v>Horeca Smart</v>
          </cell>
          <cell r="C1740" t="str">
            <v xml:space="preserve">عملاء كاش </v>
          </cell>
          <cell r="D1740" t="str">
            <v>Reham Maher</v>
          </cell>
        </row>
        <row r="1741">
          <cell r="A1741" t="str">
            <v>اسماك ابن حميدو, اسماك ابن حميدو- الجولف</v>
          </cell>
          <cell r="B1741" t="str">
            <v>Horeca Smart</v>
          </cell>
          <cell r="C1741" t="str">
            <v xml:space="preserve">عملاء كاش </v>
          </cell>
          <cell r="D1741" t="str">
            <v>Naden Amgad</v>
          </cell>
        </row>
        <row r="1742">
          <cell r="A1742" t="str">
            <v>اسماك ابو علي</v>
          </cell>
          <cell r="B1742" t="str">
            <v>Horeca Smart</v>
          </cell>
          <cell r="C1742" t="str">
            <v xml:space="preserve">عملاء كاش </v>
          </cell>
          <cell r="D1742" t="str">
            <v>Mona Mohamed</v>
          </cell>
        </row>
        <row r="1743">
          <cell r="A1743" t="str">
            <v>اسماك ابو غالي</v>
          </cell>
          <cell r="B1743" t="str">
            <v>Horeca Smart</v>
          </cell>
          <cell r="C1743" t="str">
            <v xml:space="preserve">عملاء كاش </v>
          </cell>
          <cell r="D1743" t="str">
            <v>Reham Maher</v>
          </cell>
        </row>
        <row r="1744">
          <cell r="A1744" t="str">
            <v>اسماك ابو غالي, اسماك ابو غالي, العبور</v>
          </cell>
          <cell r="B1744" t="str">
            <v>Horeca Smart</v>
          </cell>
          <cell r="C1744" t="str">
            <v xml:space="preserve">عملاء كاش </v>
          </cell>
          <cell r="D1744" t="str">
            <v>Mona Mohamed</v>
          </cell>
        </row>
        <row r="1745">
          <cell r="A1745" t="str">
            <v>اسماك ابو غالي, اسماك ابو غالي, مدينة نصر</v>
          </cell>
          <cell r="B1745" t="str">
            <v>Horeca Smart</v>
          </cell>
          <cell r="C1745" t="str">
            <v xml:space="preserve">عملاء كاش </v>
          </cell>
          <cell r="D1745" t="str">
            <v>Reham Maher</v>
          </cell>
        </row>
        <row r="1746">
          <cell r="A1746" t="str">
            <v>اسماك اسكندرية</v>
          </cell>
          <cell r="B1746" t="str">
            <v>Horeca Smart</v>
          </cell>
          <cell r="C1746" t="str">
            <v xml:space="preserve">عملاء كاش </v>
          </cell>
          <cell r="D1746" t="str">
            <v>Donia Khaled</v>
          </cell>
        </row>
        <row r="1747">
          <cell r="A1747" t="str">
            <v>اسماك الاندلس</v>
          </cell>
          <cell r="B1747" t="str">
            <v>Horeca Smart</v>
          </cell>
          <cell r="C1747" t="str">
            <v xml:space="preserve">عملاء كاش </v>
          </cell>
          <cell r="D1747" t="str">
            <v>Mona Mohamed</v>
          </cell>
        </row>
        <row r="1748">
          <cell r="A1748" t="str">
            <v>اسماك الايمان</v>
          </cell>
          <cell r="B1748" t="str">
            <v>Horeca Smart</v>
          </cell>
          <cell r="C1748" t="str">
            <v xml:space="preserve">عملاء كاش </v>
          </cell>
          <cell r="D1748" t="str">
            <v>Reham Maher</v>
          </cell>
        </row>
        <row r="1749">
          <cell r="A1749" t="str">
            <v>اسماك الجمهورية</v>
          </cell>
          <cell r="B1749" t="str">
            <v>Horeca Smart</v>
          </cell>
          <cell r="C1749" t="str">
            <v xml:space="preserve">عملاء كاش </v>
          </cell>
          <cell r="D1749" t="str">
            <v>Mona Mohamed</v>
          </cell>
        </row>
        <row r="1750">
          <cell r="A1750" t="str">
            <v>اسماك الريس ابن حميدو</v>
          </cell>
          <cell r="B1750" t="str">
            <v>Horeca Smart</v>
          </cell>
          <cell r="C1750" t="str">
            <v xml:space="preserve">عملاء كاش </v>
          </cell>
          <cell r="D1750" t="str">
            <v>Mona Mohamed</v>
          </cell>
        </row>
        <row r="1751">
          <cell r="A1751" t="str">
            <v>اسماك الريس ابن حميدو, اسماك الريس ابن حميدو, شيراتون</v>
          </cell>
          <cell r="B1751" t="str">
            <v>Horeca Smart</v>
          </cell>
          <cell r="C1751" t="str">
            <v xml:space="preserve">عملاء كاش </v>
          </cell>
          <cell r="D1751" t="str">
            <v>Mona Mohamed</v>
          </cell>
        </row>
        <row r="1752">
          <cell r="A1752" t="str">
            <v>اسماك الريس ابن حميدو, اسماك الريس ابن حميدو, مدينتي</v>
          </cell>
          <cell r="B1752" t="str">
            <v>Horeca Smart</v>
          </cell>
          <cell r="C1752" t="str">
            <v xml:space="preserve">عملاء كاش </v>
          </cell>
          <cell r="D1752" t="str">
            <v>Mona Mohamed</v>
          </cell>
        </row>
        <row r="1753">
          <cell r="A1753" t="str">
            <v>اسماك السويسى فريش فيش</v>
          </cell>
          <cell r="B1753" t="str">
            <v>Horeca Smart</v>
          </cell>
          <cell r="C1753" t="str">
            <v xml:space="preserve">عملاء كاش </v>
          </cell>
          <cell r="D1753" t="str">
            <v>Reham Maher</v>
          </cell>
        </row>
        <row r="1754">
          <cell r="A1754" t="str">
            <v>اسماك الشاطئ</v>
          </cell>
          <cell r="B1754" t="str">
            <v>Horeca Smart</v>
          </cell>
          <cell r="C1754" t="str">
            <v xml:space="preserve">عملاء كاش </v>
          </cell>
          <cell r="D1754" t="str">
            <v>Reham Maher</v>
          </cell>
        </row>
        <row r="1755">
          <cell r="A1755" t="str">
            <v>اسماك الشريف</v>
          </cell>
          <cell r="B1755" t="str">
            <v>Horeca Smart</v>
          </cell>
          <cell r="C1755" t="str">
            <v xml:space="preserve">عملاء كاش </v>
          </cell>
          <cell r="D1755" t="str">
            <v>Donia Khaled</v>
          </cell>
        </row>
        <row r="1756">
          <cell r="A1756" t="str">
            <v>اسماك الصياد</v>
          </cell>
          <cell r="B1756" t="str">
            <v>Horeca Smart</v>
          </cell>
          <cell r="C1756" t="str">
            <v xml:space="preserve">عملاء كاش </v>
          </cell>
          <cell r="D1756" t="str">
            <v>Mona Mohamed</v>
          </cell>
        </row>
        <row r="1757">
          <cell r="A1757" t="str">
            <v>اسماك الصياد, اسماك الصياد, شبرا</v>
          </cell>
          <cell r="B1757" t="str">
            <v>Horeca Smart</v>
          </cell>
          <cell r="C1757" t="str">
            <v xml:space="preserve">عملاء كاش </v>
          </cell>
          <cell r="D1757" t="str">
            <v>Mona Mohamed</v>
          </cell>
        </row>
        <row r="1758">
          <cell r="A1758" t="str">
            <v>اسماك الصياد, اسماك الصياد, شيراتون المطار</v>
          </cell>
          <cell r="B1758" t="str">
            <v>Horeca Smart</v>
          </cell>
          <cell r="C1758" t="str">
            <v xml:space="preserve">عملاء كاش </v>
          </cell>
          <cell r="D1758" t="str">
            <v>Donia Khaled</v>
          </cell>
        </row>
        <row r="1759">
          <cell r="A1759" t="str">
            <v>اسماك الكومى</v>
          </cell>
          <cell r="B1759" t="str">
            <v>Horeca Smart</v>
          </cell>
          <cell r="C1759" t="str">
            <v xml:space="preserve">عملاء كاش </v>
          </cell>
          <cell r="D1759" t="str">
            <v>Reham Maher</v>
          </cell>
        </row>
        <row r="1760">
          <cell r="A1760" t="str">
            <v>اسماك النافورة</v>
          </cell>
          <cell r="B1760" t="str">
            <v>Horeca Smart</v>
          </cell>
          <cell r="C1760" t="str">
            <v xml:space="preserve">عملاء كاش </v>
          </cell>
          <cell r="D1760" t="str">
            <v>Donia Khaled</v>
          </cell>
        </row>
        <row r="1761">
          <cell r="A1761" t="str">
            <v>اسماك اليوم</v>
          </cell>
          <cell r="B1761" t="str">
            <v>Horeca Smart</v>
          </cell>
          <cell r="C1761" t="str">
            <v xml:space="preserve">عملاء كاش </v>
          </cell>
          <cell r="D1761" t="str">
            <v>Mona Mohamed</v>
          </cell>
        </row>
        <row r="1762">
          <cell r="A1762" t="str">
            <v>اسماك اليوم, اسماك اليوم, التجمع</v>
          </cell>
          <cell r="B1762" t="str">
            <v>Horeca Smart</v>
          </cell>
          <cell r="C1762" t="str">
            <v xml:space="preserve">عملاء كاش </v>
          </cell>
          <cell r="D1762" t="str">
            <v>Mona Mohamed</v>
          </cell>
        </row>
        <row r="1763">
          <cell r="A1763" t="str">
            <v>اسماك اليوم, اسماك اليوم, المعادي</v>
          </cell>
          <cell r="B1763" t="str">
            <v>Horeca Smart</v>
          </cell>
          <cell r="C1763" t="str">
            <v xml:space="preserve">عملاء كاش </v>
          </cell>
          <cell r="D1763" t="str">
            <v>Mona Mohamed</v>
          </cell>
        </row>
        <row r="1764">
          <cell r="A1764" t="str">
            <v>اسماك بحري, اسماك بحري, مدينة نصر</v>
          </cell>
          <cell r="B1764" t="str">
            <v>Horeca Smart</v>
          </cell>
          <cell r="C1764" t="str">
            <v xml:space="preserve">عملاء كاش </v>
          </cell>
          <cell r="D1764" t="str">
            <v>Lames Magdy</v>
          </cell>
        </row>
        <row r="1765">
          <cell r="A1765" t="str">
            <v>اسماك بحري, اسماك بحري, مطعم اسماك بحري _المخزن</v>
          </cell>
          <cell r="B1765" t="str">
            <v>Horeca Smart</v>
          </cell>
          <cell r="C1765" t="str">
            <v xml:space="preserve">عملاء كاش </v>
          </cell>
          <cell r="D1765" t="str">
            <v>Reham Maher</v>
          </cell>
        </row>
        <row r="1766">
          <cell r="A1766" t="str">
            <v>اسماك جهينة</v>
          </cell>
          <cell r="B1766" t="str">
            <v>Horeca Smart</v>
          </cell>
          <cell r="C1766" t="str">
            <v xml:space="preserve">عملاء كاش </v>
          </cell>
          <cell r="D1766" t="str">
            <v>Donia Khaled</v>
          </cell>
        </row>
        <row r="1767">
          <cell r="A1767" t="str">
            <v>اسماك حميدو</v>
          </cell>
          <cell r="B1767" t="str">
            <v>Horeca Smart</v>
          </cell>
          <cell r="C1767" t="str">
            <v xml:space="preserve">عملاء كاش </v>
          </cell>
          <cell r="D1767" t="str">
            <v>Donia Khaled</v>
          </cell>
        </row>
        <row r="1768">
          <cell r="A1768" t="str">
            <v>اسماك حنفى</v>
          </cell>
          <cell r="B1768" t="str">
            <v>Horeca Smart</v>
          </cell>
          <cell r="C1768" t="str">
            <v xml:space="preserve">عملاء كاش </v>
          </cell>
          <cell r="D1768" t="str">
            <v>Mona Mohamed</v>
          </cell>
        </row>
        <row r="1769">
          <cell r="A1769" t="str">
            <v>اسماك عزيز</v>
          </cell>
          <cell r="B1769" t="str">
            <v>Horeca Smart</v>
          </cell>
          <cell r="C1769" t="str">
            <v xml:space="preserve">عملاء كاش </v>
          </cell>
          <cell r="D1769" t="str">
            <v>Mona Mohamed</v>
          </cell>
        </row>
        <row r="1770">
          <cell r="A1770" t="str">
            <v>اسماك فارس</v>
          </cell>
          <cell r="B1770" t="str">
            <v>Horeca Smart</v>
          </cell>
          <cell r="C1770" t="str">
            <v xml:space="preserve">عملاء كاش </v>
          </cell>
          <cell r="D1770" t="str">
            <v>Mona Mohamed</v>
          </cell>
        </row>
        <row r="1771">
          <cell r="A1771" t="str">
            <v>اسماك كرموز</v>
          </cell>
          <cell r="B1771" t="str">
            <v>Horeca Smart</v>
          </cell>
          <cell r="C1771" t="str">
            <v xml:space="preserve">عملاء كاش </v>
          </cell>
          <cell r="D1771" t="str">
            <v>Reham Maher</v>
          </cell>
        </row>
        <row r="1772">
          <cell r="A1772" t="str">
            <v>اشيان كورنر جاميرا</v>
          </cell>
          <cell r="B1772" t="str">
            <v>Horeca Smart</v>
          </cell>
          <cell r="C1772" t="str">
            <v xml:space="preserve">عملاء كاش </v>
          </cell>
          <cell r="D1772" t="str">
            <v>Mona Mohamed</v>
          </cell>
        </row>
        <row r="1773">
          <cell r="A1773" t="str">
            <v>اصطباحة</v>
          </cell>
          <cell r="B1773" t="str">
            <v>Horeca Smart</v>
          </cell>
          <cell r="C1773" t="str">
            <v xml:space="preserve">عملاء كاش </v>
          </cell>
          <cell r="D1773" t="str">
            <v>Naden Amgad</v>
          </cell>
        </row>
        <row r="1774">
          <cell r="A1774" t="str">
            <v>اطلس برجر</v>
          </cell>
          <cell r="B1774" t="str">
            <v>Horeca Smart</v>
          </cell>
          <cell r="C1774" t="str">
            <v xml:space="preserve">عملاء كاش </v>
          </cell>
          <cell r="D1774" t="str">
            <v>Reham Maher</v>
          </cell>
        </row>
        <row r="1775">
          <cell r="A1775" t="str">
            <v>اغا الشام</v>
          </cell>
          <cell r="B1775" t="str">
            <v>Horeca Smart</v>
          </cell>
          <cell r="C1775" t="str">
            <v xml:space="preserve">عملاء كاش </v>
          </cell>
          <cell r="D1775" t="str">
            <v>Reham Maher</v>
          </cell>
        </row>
        <row r="1776">
          <cell r="A1776" t="str">
            <v>افوكادو درينك</v>
          </cell>
          <cell r="B1776" t="str">
            <v>Horeca Smart</v>
          </cell>
          <cell r="C1776" t="str">
            <v xml:space="preserve">عملاء كاش </v>
          </cell>
          <cell r="D1776" t="str">
            <v>Mona Mohamed</v>
          </cell>
        </row>
        <row r="1777">
          <cell r="A1777" t="str">
            <v>اكس ماكس</v>
          </cell>
          <cell r="B1777" t="str">
            <v>Horeca Smart</v>
          </cell>
          <cell r="C1777" t="str">
            <v xml:space="preserve">عملاء كاش </v>
          </cell>
          <cell r="D1777" t="str">
            <v>Lames Magdy</v>
          </cell>
        </row>
        <row r="1778">
          <cell r="A1778" t="str">
            <v>اكسبريس فودز</v>
          </cell>
          <cell r="B1778" t="str">
            <v>Horeca Smart</v>
          </cell>
          <cell r="C1778" t="str">
            <v xml:space="preserve">عملاء كاش </v>
          </cell>
          <cell r="D1778" t="str">
            <v>Mona Mohamed</v>
          </cell>
        </row>
        <row r="1779">
          <cell r="A1779" t="str">
            <v>اكسبريسوا لاب</v>
          </cell>
          <cell r="B1779" t="str">
            <v>Horeca Smart</v>
          </cell>
          <cell r="C1779" t="str">
            <v xml:space="preserve">عملاء كاش </v>
          </cell>
          <cell r="D1779" t="str">
            <v>Mona Mohamed</v>
          </cell>
        </row>
        <row r="1780">
          <cell r="A1780" t="str">
            <v>اكوانتا</v>
          </cell>
          <cell r="C1780" t="str">
            <v>موردين كاش</v>
          </cell>
          <cell r="D1780" t="str">
            <v>Amgad Ahmed</v>
          </cell>
        </row>
        <row r="1781">
          <cell r="A1781" t="str">
            <v>ال زيدان لتجارة الجملة</v>
          </cell>
          <cell r="C1781" t="str">
            <v>موردين كاش</v>
          </cell>
          <cell r="D1781" t="str">
            <v>Amgad Ahmed</v>
          </cell>
        </row>
        <row r="1782">
          <cell r="A1782" t="str">
            <v>ال سوشي</v>
          </cell>
          <cell r="B1782" t="str">
            <v>Horeca Smart</v>
          </cell>
          <cell r="C1782" t="str">
            <v xml:space="preserve">عملاء كاش </v>
          </cell>
          <cell r="D1782" t="str">
            <v>Mona Mohamed</v>
          </cell>
        </row>
        <row r="1783">
          <cell r="A1783" t="str">
            <v>الأستاذ</v>
          </cell>
          <cell r="B1783" t="str">
            <v>Horeca Smart</v>
          </cell>
          <cell r="C1783" t="str">
            <v xml:space="preserve">عملاء كاش </v>
          </cell>
          <cell r="D1783" t="str">
            <v>Lames Magdy</v>
          </cell>
        </row>
        <row r="1784">
          <cell r="A1784" t="str">
            <v>الاتحاد</v>
          </cell>
          <cell r="B1784" t="str">
            <v>MAS</v>
          </cell>
          <cell r="C1784" t="str">
            <v xml:space="preserve">عملاء كاش </v>
          </cell>
          <cell r="D1784" t="str">
            <v>Haddil Haron</v>
          </cell>
        </row>
        <row r="1785">
          <cell r="A1785" t="str">
            <v>الاسكندراني الشربطلى</v>
          </cell>
          <cell r="B1785" t="str">
            <v>Horeca Smart</v>
          </cell>
          <cell r="C1785" t="str">
            <v xml:space="preserve">عملاء كاش </v>
          </cell>
          <cell r="D1785" t="str">
            <v>Naden Amgad</v>
          </cell>
        </row>
        <row r="1786">
          <cell r="A1786" t="str">
            <v>الامل السوري</v>
          </cell>
          <cell r="B1786" t="str">
            <v>Horeca Smart</v>
          </cell>
          <cell r="C1786" t="str">
            <v xml:space="preserve">عملاء كاش </v>
          </cell>
          <cell r="D1786" t="str">
            <v>Donia Khaled</v>
          </cell>
        </row>
        <row r="1787">
          <cell r="A1787" t="str">
            <v>الايطالية الدولية للكاترينج</v>
          </cell>
          <cell r="B1787" t="str">
            <v>Horeca Smart</v>
          </cell>
          <cell r="C1787" t="str">
            <v>عملاء اجل</v>
          </cell>
          <cell r="D1787" t="str">
            <v>Mona Mohamed</v>
          </cell>
        </row>
        <row r="1788">
          <cell r="A1788" t="str">
            <v>الباشان</v>
          </cell>
          <cell r="B1788" t="str">
            <v>Horeca Smart</v>
          </cell>
          <cell r="C1788" t="str">
            <v xml:space="preserve">عملاء كاش </v>
          </cell>
          <cell r="D1788" t="str">
            <v>Mona Mohamed</v>
          </cell>
        </row>
        <row r="1789">
          <cell r="A1789" t="str">
            <v>البان عسل</v>
          </cell>
          <cell r="B1789" t="str">
            <v>Horeca Smart</v>
          </cell>
          <cell r="C1789" t="str">
            <v xml:space="preserve">عملاء كاش </v>
          </cell>
          <cell r="D1789" t="str">
            <v>Lames Magdy</v>
          </cell>
        </row>
        <row r="1790">
          <cell r="A1790" t="str">
            <v>البان كريستال</v>
          </cell>
          <cell r="B1790" t="str">
            <v>Horeca Smart</v>
          </cell>
          <cell r="C1790" t="str">
            <v xml:space="preserve">عملاء كاش </v>
          </cell>
          <cell r="D1790" t="str">
            <v>Lames Magdy</v>
          </cell>
        </row>
        <row r="1791">
          <cell r="A1791" t="str">
            <v>البيت السوري</v>
          </cell>
          <cell r="B1791" t="str">
            <v>Horeca Smart</v>
          </cell>
          <cell r="C1791" t="str">
            <v xml:space="preserve">عملاء كاش </v>
          </cell>
          <cell r="D1791" t="str">
            <v>Mona Mohamed</v>
          </cell>
        </row>
        <row r="1792">
          <cell r="A1792" t="str">
            <v>البيك السوري</v>
          </cell>
          <cell r="B1792" t="str">
            <v>Horeca Smart</v>
          </cell>
          <cell r="C1792" t="str">
            <v xml:space="preserve">عملاء كاش </v>
          </cell>
          <cell r="D1792" t="str">
            <v>Lames Magdy</v>
          </cell>
        </row>
        <row r="1793">
          <cell r="A1793" t="str">
            <v>التاج السوري</v>
          </cell>
          <cell r="B1793" t="str">
            <v>Horeca Smart</v>
          </cell>
          <cell r="C1793" t="str">
            <v xml:space="preserve">عملاء كاش </v>
          </cell>
          <cell r="D1793" t="str">
            <v>Mona Mohamed</v>
          </cell>
        </row>
        <row r="1794">
          <cell r="A1794" t="str">
            <v>التلال لتعبئة و توريد و تصدير المواد الغذائية</v>
          </cell>
          <cell r="C1794" t="str">
            <v>موردين كاش</v>
          </cell>
          <cell r="D1794" t="str">
            <v>Amgad Ahmed</v>
          </cell>
        </row>
        <row r="1795">
          <cell r="A1795" t="str">
            <v>التوفيق احمد و محمود</v>
          </cell>
          <cell r="C1795" t="str">
            <v>موردين كاش</v>
          </cell>
          <cell r="D1795" t="str">
            <v>Amgad Ahmed</v>
          </cell>
        </row>
        <row r="1796">
          <cell r="A1796" t="str">
            <v>الجلالة</v>
          </cell>
          <cell r="B1796" t="str">
            <v>Horeca Smart</v>
          </cell>
          <cell r="C1796" t="str">
            <v xml:space="preserve">عملاء كاش </v>
          </cell>
          <cell r="D1796" t="str">
            <v>Donia Khaled</v>
          </cell>
        </row>
        <row r="1797">
          <cell r="A1797" t="str">
            <v>الجمعية الشرعية لتعاون العاملين بالكتاب و السنه المحمديه</v>
          </cell>
          <cell r="B1797" t="str">
            <v>Horeca Smart</v>
          </cell>
          <cell r="C1797" t="str">
            <v xml:space="preserve">عملاء كاش </v>
          </cell>
          <cell r="D1797" t="str">
            <v>Lames Magdy</v>
          </cell>
        </row>
        <row r="1798">
          <cell r="A1798" t="str">
            <v>الجمعيه التعاونيه الاستهللاكيه م الطلبه العجوزه</v>
          </cell>
          <cell r="B1798" t="str">
            <v>Horeca Smart</v>
          </cell>
          <cell r="C1798" t="str">
            <v xml:space="preserve">موردين اجل </v>
          </cell>
          <cell r="D1798" t="str">
            <v>Amgad Ahmed</v>
          </cell>
        </row>
        <row r="1799">
          <cell r="A1799" t="str">
            <v>الجوكر</v>
          </cell>
          <cell r="B1799" t="str">
            <v>Horeca Smart</v>
          </cell>
          <cell r="C1799" t="str">
            <v xml:space="preserve">عملاء كاش </v>
          </cell>
          <cell r="D1799" t="str">
            <v>Naden Amgad</v>
          </cell>
        </row>
        <row r="1800">
          <cell r="A1800" t="str">
            <v>الحاتى</v>
          </cell>
          <cell r="B1800" t="str">
            <v>Horeca Smart</v>
          </cell>
          <cell r="C1800" t="str">
            <v xml:space="preserve">عملاء كاش </v>
          </cell>
          <cell r="D1800" t="str">
            <v>Mona Mohamed</v>
          </cell>
        </row>
        <row r="1801">
          <cell r="A1801" t="str">
            <v>الحجاز للمخبوزات</v>
          </cell>
          <cell r="B1801" t="str">
            <v>Horeca Smart</v>
          </cell>
          <cell r="C1801" t="str">
            <v xml:space="preserve">عملاء كاش </v>
          </cell>
          <cell r="D1801" t="str">
            <v>Mona Mohamed</v>
          </cell>
        </row>
        <row r="1802">
          <cell r="A1802" t="str">
            <v>الحمد</v>
          </cell>
          <cell r="B1802" t="str">
            <v>Horeca Smart</v>
          </cell>
          <cell r="C1802" t="str">
            <v xml:space="preserve">عملاء كاش </v>
          </cell>
          <cell r="D1802" t="str">
            <v>Mona Mohamed</v>
          </cell>
        </row>
        <row r="1803">
          <cell r="A1803" t="str">
            <v>الحمد لتعبئة المواد الغذائية</v>
          </cell>
          <cell r="C1803" t="str">
            <v>موردين كاش</v>
          </cell>
          <cell r="D1803" t="str">
            <v>Amgad Ahmed</v>
          </cell>
        </row>
        <row r="1804">
          <cell r="A1804" t="str">
            <v>الخباز</v>
          </cell>
          <cell r="B1804" t="str">
            <v>Horeca Smart</v>
          </cell>
          <cell r="C1804" t="str">
            <v xml:space="preserve">عملاء كاش </v>
          </cell>
          <cell r="D1804" t="str">
            <v>Mona Mohamed</v>
          </cell>
        </row>
        <row r="1805">
          <cell r="A1805" t="str">
            <v>الخباز الذهبي</v>
          </cell>
          <cell r="B1805" t="str">
            <v>Horeca Smart</v>
          </cell>
          <cell r="C1805" t="str">
            <v xml:space="preserve">عملاء كاش </v>
          </cell>
          <cell r="D1805" t="str">
            <v>Mona Mohamed</v>
          </cell>
        </row>
        <row r="1806">
          <cell r="A1806" t="str">
            <v>الخدمة الوطنية للمشروعات</v>
          </cell>
          <cell r="B1806" t="str">
            <v>MAS</v>
          </cell>
          <cell r="C1806" t="str">
            <v xml:space="preserve">عملاء كاش </v>
          </cell>
          <cell r="D1806" t="str">
            <v>Haddil Haron</v>
          </cell>
        </row>
        <row r="1807">
          <cell r="A1807" t="str">
            <v>الخطاري جروب</v>
          </cell>
          <cell r="C1807" t="str">
            <v>موردين كاش</v>
          </cell>
          <cell r="D1807" t="str">
            <v>Amgad Ahmed</v>
          </cell>
        </row>
        <row r="1808">
          <cell r="A1808" t="str">
            <v>الدولية لمشروعات التصنيع الزراعي بيتي ( مراعي جيزة )</v>
          </cell>
          <cell r="B1808" t="str">
            <v>MAS</v>
          </cell>
          <cell r="C1808" t="str">
            <v xml:space="preserve">موردين اجل </v>
          </cell>
          <cell r="D1808" t="str">
            <v>Amgad Ahmed</v>
          </cell>
        </row>
        <row r="1809">
          <cell r="A1809" t="str">
            <v>الرائد لتوريدات المواد الغذائية</v>
          </cell>
          <cell r="B1809" t="str">
            <v>Horeca Smart</v>
          </cell>
          <cell r="C1809" t="str">
            <v xml:space="preserve">عملاء كاش </v>
          </cell>
          <cell r="D1809" t="str">
            <v>Mona Mohamed</v>
          </cell>
        </row>
        <row r="1810">
          <cell r="A1810" t="str">
            <v>الراعى - العاشر</v>
          </cell>
          <cell r="B1810" t="str">
            <v>Horeca Smart</v>
          </cell>
          <cell r="C1810" t="str">
            <v xml:space="preserve">عملاء كاش </v>
          </cell>
          <cell r="D1810" t="str">
            <v>Mona Mohamed</v>
          </cell>
        </row>
        <row r="1811">
          <cell r="A1811" t="str">
            <v>الراعي - مورد</v>
          </cell>
          <cell r="C1811" t="str">
            <v>موردين كاش</v>
          </cell>
          <cell r="D1811" t="str">
            <v>Amgad Ahmed</v>
          </cell>
        </row>
        <row r="1812">
          <cell r="A1812" t="str">
            <v>الرحمة للتوريدات</v>
          </cell>
          <cell r="B1812" t="str">
            <v>Horeca Smart</v>
          </cell>
          <cell r="C1812" t="str">
            <v xml:space="preserve">عملاء كاش </v>
          </cell>
          <cell r="D1812" t="str">
            <v>Mona Mohamed</v>
          </cell>
        </row>
        <row r="1813">
          <cell r="A1813" t="str">
            <v>الركن الفيروزي</v>
          </cell>
          <cell r="B1813" t="str">
            <v>Horeca Smart</v>
          </cell>
          <cell r="C1813" t="str">
            <v xml:space="preserve">عملاء كاش </v>
          </cell>
          <cell r="D1813" t="str">
            <v>Lames Magdy</v>
          </cell>
        </row>
        <row r="1814">
          <cell r="A1814" t="str">
            <v>الزمردة للصناعات الغذائية ( الساعة )</v>
          </cell>
          <cell r="B1814" t="str">
            <v>MAS</v>
          </cell>
          <cell r="C1814" t="str">
            <v>موردين كاش</v>
          </cell>
          <cell r="D1814" t="str">
            <v>Amgad Ahmed</v>
          </cell>
        </row>
        <row r="1815">
          <cell r="A1815" t="str">
            <v>الزيني الشيباني</v>
          </cell>
          <cell r="B1815" t="str">
            <v>Horeca Smart</v>
          </cell>
          <cell r="C1815" t="str">
            <v xml:space="preserve">عملاء كاش </v>
          </cell>
          <cell r="D1815" t="str">
            <v>Naden Amgad</v>
          </cell>
        </row>
        <row r="1816">
          <cell r="A1816" t="str">
            <v>السعد لتجارة المواد الغذائية</v>
          </cell>
          <cell r="B1816" t="str">
            <v>Horeca Smart</v>
          </cell>
          <cell r="C1816" t="str">
            <v xml:space="preserve">عملاء كاش </v>
          </cell>
          <cell r="D1816" t="str">
            <v>Naden Amgad</v>
          </cell>
        </row>
        <row r="1817">
          <cell r="A1817" t="str">
            <v>السلام توب</v>
          </cell>
          <cell r="B1817" t="str">
            <v>Horeca Smart</v>
          </cell>
          <cell r="C1817" t="str">
            <v xml:space="preserve">عملاء كاش </v>
          </cell>
          <cell r="D1817" t="str">
            <v>Reham Maher</v>
          </cell>
        </row>
        <row r="1818">
          <cell r="A1818" t="str">
            <v>الشادر للمأكولات البحرية</v>
          </cell>
          <cell r="B1818" t="str">
            <v>Horeca Smart</v>
          </cell>
          <cell r="C1818" t="str">
            <v xml:space="preserve">عملاء كاش </v>
          </cell>
          <cell r="D1818" t="str">
            <v>Reham Maher</v>
          </cell>
        </row>
        <row r="1819">
          <cell r="A1819" t="str">
            <v>الشاطر عمرو</v>
          </cell>
          <cell r="B1819" t="str">
            <v>Horeca Smart</v>
          </cell>
          <cell r="C1819" t="str">
            <v xml:space="preserve">عملاء كاش </v>
          </cell>
          <cell r="D1819" t="str">
            <v>Mona Mohamed</v>
          </cell>
        </row>
        <row r="1820">
          <cell r="A1820" t="str">
            <v>الشامى السورى</v>
          </cell>
          <cell r="B1820" t="str">
            <v>Horeca Smart</v>
          </cell>
          <cell r="C1820" t="str">
            <v xml:space="preserve">عملاء كاش </v>
          </cell>
          <cell r="D1820" t="str">
            <v>Mona Mohamed</v>
          </cell>
        </row>
        <row r="1821">
          <cell r="A1821" t="str">
            <v>الشجرة الطيبة</v>
          </cell>
          <cell r="B1821" t="str">
            <v>Horeca Smart</v>
          </cell>
          <cell r="C1821" t="str">
            <v xml:space="preserve">عملاء كاش </v>
          </cell>
          <cell r="D1821" t="str">
            <v>Mona Mohamed</v>
          </cell>
        </row>
        <row r="1822">
          <cell r="A1822" t="str">
            <v>الشرقاوى</v>
          </cell>
          <cell r="B1822" t="str">
            <v>Horeca Smart</v>
          </cell>
          <cell r="C1822" t="str">
            <v xml:space="preserve">عملاء كاش </v>
          </cell>
          <cell r="D1822" t="str">
            <v>Mona Mohamed</v>
          </cell>
        </row>
        <row r="1823">
          <cell r="A1823" t="str">
            <v>الشرقاوى, الشرقاوى, السواح</v>
          </cell>
          <cell r="B1823" t="str">
            <v>Horeca Smart</v>
          </cell>
          <cell r="C1823" t="str">
            <v xml:space="preserve">عملاء كاش </v>
          </cell>
          <cell r="D1823" t="str">
            <v>Donia Khaled</v>
          </cell>
        </row>
        <row r="1824">
          <cell r="A1824" t="str">
            <v>الشرقاوى, الشرقاوى, المقطم</v>
          </cell>
          <cell r="B1824" t="str">
            <v>Horeca Smart</v>
          </cell>
          <cell r="C1824" t="str">
            <v xml:space="preserve">عملاء كاش </v>
          </cell>
          <cell r="D1824" t="str">
            <v>Mona Mohamed</v>
          </cell>
        </row>
        <row r="1825">
          <cell r="A1825" t="str">
            <v>الشرقاوى, الشرقاوى, فيصل</v>
          </cell>
          <cell r="B1825" t="str">
            <v>Horeca Smart</v>
          </cell>
          <cell r="C1825" t="str">
            <v xml:space="preserve">عملاء كاش </v>
          </cell>
          <cell r="D1825" t="str">
            <v>Naden Amgad</v>
          </cell>
        </row>
        <row r="1826">
          <cell r="A1826" t="str">
            <v>الشركة الاسلامية</v>
          </cell>
          <cell r="B1826" t="str">
            <v>Horeca Smart</v>
          </cell>
          <cell r="C1826" t="str">
            <v xml:space="preserve">عملاء كاش </v>
          </cell>
          <cell r="D1826" t="str">
            <v>Mona Mohamed</v>
          </cell>
        </row>
        <row r="1827">
          <cell r="A1827" t="str">
            <v>الشركة المتحدة</v>
          </cell>
          <cell r="B1827" t="str">
            <v>Horeca Smart</v>
          </cell>
          <cell r="C1827" t="str">
            <v xml:space="preserve">عملاء كاش </v>
          </cell>
          <cell r="D1827" t="str">
            <v>Naden Amgad</v>
          </cell>
        </row>
        <row r="1828">
          <cell r="A1828" t="str">
            <v>الشركة المصرية النمساويه للاستيراد والتصدير</v>
          </cell>
          <cell r="B1828" t="str">
            <v>MAS</v>
          </cell>
          <cell r="C1828" t="str">
            <v xml:space="preserve">عملاء كاش </v>
          </cell>
          <cell r="D1828" t="str">
            <v>Mona Mohamed</v>
          </cell>
        </row>
        <row r="1829">
          <cell r="A1829" t="str">
            <v>الشركه المصريه الاسيويه</v>
          </cell>
          <cell r="B1829" t="str">
            <v>Horeca Smart</v>
          </cell>
          <cell r="C1829" t="str">
            <v xml:space="preserve">عملاء كاش </v>
          </cell>
          <cell r="D1829" t="str">
            <v>Lames Magdy</v>
          </cell>
        </row>
        <row r="1830">
          <cell r="A1830" t="str">
            <v>الشعلة</v>
          </cell>
          <cell r="B1830" t="str">
            <v>Horeca Smart</v>
          </cell>
          <cell r="C1830" t="str">
            <v xml:space="preserve">عملاء كاش </v>
          </cell>
          <cell r="D1830" t="str">
            <v>Naden Amgad</v>
          </cell>
        </row>
        <row r="1831">
          <cell r="A1831" t="str">
            <v>الشماع للتجارة الخارجية</v>
          </cell>
          <cell r="B1831" t="str">
            <v>Horeca Smart</v>
          </cell>
          <cell r="C1831" t="str">
            <v>موردين كاش</v>
          </cell>
          <cell r="D1831" t="str">
            <v>Amgad Ahmed</v>
          </cell>
        </row>
        <row r="1832">
          <cell r="A1832" t="str">
            <v>الشيخ السورى</v>
          </cell>
          <cell r="B1832" t="str">
            <v>Horeca Smart</v>
          </cell>
          <cell r="C1832" t="str">
            <v xml:space="preserve">عملاء كاش </v>
          </cell>
          <cell r="D1832" t="str">
            <v>Mona Mohamed</v>
          </cell>
        </row>
        <row r="1833">
          <cell r="A1833" t="str">
            <v>الصفا للتوريدات والمقاولات</v>
          </cell>
          <cell r="B1833" t="str">
            <v>Horeca Smart</v>
          </cell>
          <cell r="C1833" t="str">
            <v>موردين كاش</v>
          </cell>
          <cell r="D1833" t="str">
            <v>Amgad Ahmed</v>
          </cell>
        </row>
        <row r="1834">
          <cell r="A1834" t="str">
            <v>الصفوة هاينز</v>
          </cell>
          <cell r="B1834" t="str">
            <v>Horeca Smart</v>
          </cell>
          <cell r="C1834" t="str">
            <v>موردين كاش</v>
          </cell>
          <cell r="D1834" t="str">
            <v>Amgad Ahmed</v>
          </cell>
        </row>
        <row r="1835">
          <cell r="A1835" t="str">
            <v>الضحاوى</v>
          </cell>
          <cell r="B1835" t="str">
            <v>Horeca Smart</v>
          </cell>
          <cell r="C1835" t="str">
            <v xml:space="preserve">عملاء كاش </v>
          </cell>
          <cell r="D1835" t="str">
            <v>Naden Amgad</v>
          </cell>
        </row>
        <row r="1836">
          <cell r="A1836" t="str">
            <v>العامر</v>
          </cell>
          <cell r="B1836" t="str">
            <v>Horeca Smart</v>
          </cell>
          <cell r="C1836" t="str">
            <v xml:space="preserve">عملاء كاش </v>
          </cell>
          <cell r="D1836" t="str">
            <v>Donia Khaled</v>
          </cell>
        </row>
        <row r="1837">
          <cell r="A1837" t="str">
            <v>العراب</v>
          </cell>
          <cell r="C1837" t="str">
            <v xml:space="preserve">عملاء كاش </v>
          </cell>
        </row>
        <row r="1838">
          <cell r="A1838" t="str">
            <v>العوام للتوريدات</v>
          </cell>
          <cell r="B1838" t="str">
            <v>Horeca Smart</v>
          </cell>
          <cell r="C1838" t="str">
            <v xml:space="preserve">عملاء كاش </v>
          </cell>
          <cell r="D1838" t="str">
            <v>Naden Amgad</v>
          </cell>
        </row>
        <row r="1839">
          <cell r="A1839" t="str">
            <v>الف لقمه</v>
          </cell>
          <cell r="B1839" t="str">
            <v>Horeca Smart</v>
          </cell>
          <cell r="C1839" t="str">
            <v xml:space="preserve">عملاء كاش </v>
          </cell>
          <cell r="D1839" t="str">
            <v>Donia Khaled</v>
          </cell>
        </row>
        <row r="1840">
          <cell r="A1840" t="str">
            <v>الفا ايجيبت لإدارة المطاعم</v>
          </cell>
          <cell r="B1840" t="str">
            <v>Horeca Smart</v>
          </cell>
          <cell r="C1840" t="str">
            <v xml:space="preserve">عملاء كاش </v>
          </cell>
          <cell r="D1840" t="str">
            <v>Reham Maher</v>
          </cell>
        </row>
        <row r="1841">
          <cell r="A1841" t="str">
            <v>القبيصي</v>
          </cell>
          <cell r="B1841" t="str">
            <v>Horeca Smart</v>
          </cell>
          <cell r="C1841" t="str">
            <v xml:space="preserve">عملاء كاش </v>
          </cell>
          <cell r="D1841" t="str">
            <v>Shorouk khaled</v>
          </cell>
        </row>
        <row r="1842">
          <cell r="A1842" t="str">
            <v>القرية الخضراء للتجارة والتوريدات</v>
          </cell>
          <cell r="B1842" t="str">
            <v>Horeca Smart</v>
          </cell>
          <cell r="C1842" t="str">
            <v>موردين كاش</v>
          </cell>
          <cell r="D1842" t="str">
            <v>Amgad Ahmed</v>
          </cell>
        </row>
        <row r="1843">
          <cell r="A1843" t="str">
            <v>القليوبى - مدينتى</v>
          </cell>
          <cell r="B1843" t="str">
            <v>Horeca Smart</v>
          </cell>
          <cell r="C1843" t="str">
            <v xml:space="preserve">عملاء كاش </v>
          </cell>
          <cell r="D1843" t="str">
            <v>Mona Mohamed</v>
          </cell>
        </row>
        <row r="1844">
          <cell r="A1844" t="str">
            <v>القليوبي</v>
          </cell>
          <cell r="B1844" t="str">
            <v>Horeca Smart</v>
          </cell>
          <cell r="C1844" t="str">
            <v xml:space="preserve">عملاء كاش </v>
          </cell>
          <cell r="D1844" t="str">
            <v>Rasha Hassan</v>
          </cell>
        </row>
        <row r="1845">
          <cell r="A1845" t="str">
            <v>القليوبي, القليوبي, القليوبي جسر السويس</v>
          </cell>
          <cell r="B1845" t="str">
            <v>Horeca Smart</v>
          </cell>
          <cell r="C1845" t="str">
            <v xml:space="preserve">عملاء كاش </v>
          </cell>
          <cell r="D1845" t="str">
            <v>Rasha Hassan</v>
          </cell>
        </row>
        <row r="1846">
          <cell r="A1846" t="str">
            <v>الكافتيريا الالمانية</v>
          </cell>
          <cell r="B1846" t="str">
            <v>Horeca Smart</v>
          </cell>
          <cell r="C1846" t="str">
            <v xml:space="preserve">عملاء كاش </v>
          </cell>
          <cell r="D1846" t="str">
            <v>Mona Mohamed</v>
          </cell>
        </row>
        <row r="1847">
          <cell r="A1847" t="str">
            <v>الكرامه مصر للتجاره والتصنيع</v>
          </cell>
          <cell r="B1847" t="str">
            <v>MAS</v>
          </cell>
          <cell r="C1847" t="str">
            <v xml:space="preserve">عملاء كاش </v>
          </cell>
          <cell r="D1847" t="str">
            <v>Rasha Hassan</v>
          </cell>
        </row>
        <row r="1848">
          <cell r="A1848" t="str">
            <v>الكرم لتوريدات المطاعم والفنادق</v>
          </cell>
          <cell r="B1848" t="str">
            <v>Horeca Smart</v>
          </cell>
          <cell r="C1848" t="str">
            <v xml:space="preserve">عملاء كاش </v>
          </cell>
          <cell r="D1848" t="str">
            <v>Naden Amgad</v>
          </cell>
        </row>
        <row r="1849">
          <cell r="A1849" t="str">
            <v>الكريم لتجارة المواد الغذائيةوالكيماويات</v>
          </cell>
          <cell r="B1849" t="str">
            <v>Horeca Smart</v>
          </cell>
          <cell r="C1849" t="str">
            <v xml:space="preserve">عملاء كاش </v>
          </cell>
          <cell r="D1849" t="str">
            <v>Mona Mohamed</v>
          </cell>
        </row>
        <row r="1850">
          <cell r="A1850" t="str">
            <v>الكمار</v>
          </cell>
          <cell r="C1850" t="str">
            <v>موردين كاش</v>
          </cell>
          <cell r="D1850" t="str">
            <v>Amgad Ahmed</v>
          </cell>
        </row>
        <row r="1851">
          <cell r="A1851" t="str">
            <v>الكونتننتال للخدمات التعليمية</v>
          </cell>
          <cell r="B1851" t="str">
            <v>Horeca Smart</v>
          </cell>
          <cell r="C1851" t="str">
            <v xml:space="preserve">عملاء كاش </v>
          </cell>
          <cell r="D1851" t="str">
            <v>Naden Amgad</v>
          </cell>
        </row>
        <row r="1852">
          <cell r="A1852" t="str">
            <v>المأمون</v>
          </cell>
          <cell r="B1852" t="str">
            <v>Horeca Smart</v>
          </cell>
          <cell r="C1852" t="str">
            <v xml:space="preserve">عملاء كاش </v>
          </cell>
          <cell r="D1852" t="str">
            <v>Mona Mohamed</v>
          </cell>
        </row>
        <row r="1853">
          <cell r="A1853" t="str">
            <v>الماسه انترناشونال للتويدات العموميه</v>
          </cell>
          <cell r="B1853" t="str">
            <v>Horeca Smart</v>
          </cell>
          <cell r="C1853" t="str">
            <v xml:space="preserve">عملاء كاش </v>
          </cell>
          <cell r="D1853" t="str">
            <v>Mona Mohamed</v>
          </cell>
        </row>
        <row r="1854">
          <cell r="A1854" t="str">
            <v>الماظ</v>
          </cell>
          <cell r="B1854" t="str">
            <v>Horeca Smart</v>
          </cell>
          <cell r="C1854" t="str">
            <v xml:space="preserve">عملاء كاش </v>
          </cell>
          <cell r="D1854" t="str">
            <v>Donia Khaled</v>
          </cell>
        </row>
        <row r="1855">
          <cell r="A1855" t="str">
            <v>المجد الدمشقى</v>
          </cell>
          <cell r="B1855" t="str">
            <v>Horeca Smart</v>
          </cell>
          <cell r="C1855" t="str">
            <v xml:space="preserve">عملاء كاش </v>
          </cell>
          <cell r="D1855" t="str">
            <v>Naden Amgad</v>
          </cell>
        </row>
        <row r="1856">
          <cell r="A1856" t="str">
            <v>المذاق السوري</v>
          </cell>
          <cell r="B1856" t="str">
            <v>Horeca Smart</v>
          </cell>
          <cell r="C1856" t="str">
            <v xml:space="preserve">عملاء كاش </v>
          </cell>
          <cell r="D1856" t="str">
            <v>Mona Mohamed</v>
          </cell>
        </row>
        <row r="1857">
          <cell r="A1857" t="str">
            <v>المستقبل للتوريدات المواد الغذائية</v>
          </cell>
          <cell r="B1857" t="str">
            <v>Horeca Smart</v>
          </cell>
          <cell r="C1857" t="str">
            <v xml:space="preserve">عملاء كاش </v>
          </cell>
          <cell r="D1857" t="str">
            <v>Mona Mohamed</v>
          </cell>
        </row>
        <row r="1858">
          <cell r="A1858" t="str">
            <v>المصري للتوريدات</v>
          </cell>
          <cell r="B1858" t="str">
            <v>Horeca Smart</v>
          </cell>
          <cell r="C1858" t="str">
            <v xml:space="preserve">عملاء كاش </v>
          </cell>
          <cell r="D1858" t="str">
            <v>Mona Mohamed</v>
          </cell>
        </row>
        <row r="1859">
          <cell r="A1859" t="str">
            <v>المصطفي</v>
          </cell>
          <cell r="B1859" t="str">
            <v>Horeca Smart</v>
          </cell>
          <cell r="C1859" t="str">
            <v xml:space="preserve">عملاء كاش </v>
          </cell>
          <cell r="D1859" t="str">
            <v>Naden Amgad</v>
          </cell>
        </row>
        <row r="1860">
          <cell r="A1860" t="str">
            <v>المصطفي للتجارة والتوريدات</v>
          </cell>
          <cell r="B1860" t="str">
            <v>MAS</v>
          </cell>
          <cell r="C1860" t="str">
            <v xml:space="preserve">عملاء كاش </v>
          </cell>
          <cell r="D1860" t="str">
            <v>Salah Sayed</v>
          </cell>
        </row>
        <row r="1861">
          <cell r="A1861" t="str">
            <v>المطورون لادارة المطاعم</v>
          </cell>
          <cell r="B1861" t="str">
            <v>Horeca Smart</v>
          </cell>
          <cell r="C1861" t="str">
            <v xml:space="preserve">عملاء كاش </v>
          </cell>
          <cell r="D1861" t="str">
            <v>Donia Khaled</v>
          </cell>
        </row>
        <row r="1862">
          <cell r="A1862" t="str">
            <v>المعهد العالي للحاسبات ونظم المعلومات</v>
          </cell>
          <cell r="B1862" t="str">
            <v>Horeca Smart</v>
          </cell>
          <cell r="C1862" t="str">
            <v xml:space="preserve">عملاء كاش </v>
          </cell>
          <cell r="D1862" t="str">
            <v>Naden Amgad</v>
          </cell>
        </row>
        <row r="1863">
          <cell r="A1863" t="str">
            <v>المغربل للصناعات الغذائية</v>
          </cell>
          <cell r="B1863" t="str">
            <v>MAS</v>
          </cell>
          <cell r="C1863" t="str">
            <v xml:space="preserve">عملاء كاش </v>
          </cell>
          <cell r="D1863" t="str">
            <v>Haddil Haron</v>
          </cell>
        </row>
        <row r="1864">
          <cell r="A1864" t="str">
            <v>المليجى</v>
          </cell>
          <cell r="B1864" t="str">
            <v>Horeca Smart</v>
          </cell>
          <cell r="C1864" t="str">
            <v xml:space="preserve">عملاء كاش </v>
          </cell>
          <cell r="D1864" t="str">
            <v>Mona Mohamed</v>
          </cell>
        </row>
        <row r="1865">
          <cell r="A1865" t="str">
            <v>المليجى, المليجى, العمرانية</v>
          </cell>
          <cell r="B1865" t="str">
            <v>Horeca Smart</v>
          </cell>
          <cell r="C1865" t="str">
            <v xml:space="preserve">عملاء كاش </v>
          </cell>
          <cell r="D1865" t="str">
            <v>Naden Amgad</v>
          </cell>
        </row>
        <row r="1866">
          <cell r="A1866" t="str">
            <v>المليجى, المليجى, المعادي</v>
          </cell>
          <cell r="B1866" t="str">
            <v>Horeca Smart</v>
          </cell>
          <cell r="C1866" t="str">
            <v xml:space="preserve">عملاء كاش </v>
          </cell>
          <cell r="D1866" t="str">
            <v>Mona Mohamed</v>
          </cell>
        </row>
        <row r="1867">
          <cell r="A1867" t="str">
            <v>المنوفي الكبابجي</v>
          </cell>
          <cell r="B1867" t="str">
            <v>Horeca Smart</v>
          </cell>
          <cell r="C1867" t="str">
            <v xml:space="preserve">عملاء كاش </v>
          </cell>
          <cell r="D1867" t="str">
            <v>Mona Mohamed</v>
          </cell>
        </row>
        <row r="1868">
          <cell r="A1868" t="str">
            <v>المهندس اكسبريس</v>
          </cell>
          <cell r="B1868" t="str">
            <v>Horeca Smart</v>
          </cell>
          <cell r="C1868" t="str">
            <v xml:space="preserve">عملاء كاش </v>
          </cell>
          <cell r="D1868" t="str">
            <v>Donia Khaled</v>
          </cell>
        </row>
        <row r="1869">
          <cell r="A1869" t="str">
            <v>الهداية للتوريدات العمومية</v>
          </cell>
          <cell r="B1869" t="str">
            <v>Horeca Smart</v>
          </cell>
          <cell r="C1869" t="str">
            <v xml:space="preserve">عملاء كاش </v>
          </cell>
          <cell r="D1869" t="str">
            <v>Mona Mohamed</v>
          </cell>
        </row>
        <row r="1870">
          <cell r="A1870" t="str">
            <v>الهلالى درينك</v>
          </cell>
          <cell r="B1870" t="str">
            <v>Horeca Smart</v>
          </cell>
          <cell r="C1870" t="str">
            <v xml:space="preserve">عملاء كاش </v>
          </cell>
          <cell r="D1870" t="str">
            <v>Lames Magdy</v>
          </cell>
        </row>
        <row r="1871">
          <cell r="A1871" t="str">
            <v>الو لبنان للتوريدات</v>
          </cell>
          <cell r="B1871" t="str">
            <v>Horeca Smart</v>
          </cell>
          <cell r="C1871" t="str">
            <v xml:space="preserve">عملاء كاش </v>
          </cell>
          <cell r="D1871" t="str">
            <v>Mona Mohamed</v>
          </cell>
        </row>
        <row r="1872">
          <cell r="A1872" t="str">
            <v>الواحاتى</v>
          </cell>
          <cell r="B1872" t="str">
            <v>Horeca Smart</v>
          </cell>
          <cell r="C1872" t="str">
            <v xml:space="preserve">عملاء كاش </v>
          </cell>
          <cell r="D1872" t="str">
            <v>Mona Mohamed</v>
          </cell>
        </row>
        <row r="1873">
          <cell r="A1873" t="str">
            <v>الواحي(شارع 9)</v>
          </cell>
          <cell r="B1873" t="str">
            <v>Horeca Smart</v>
          </cell>
          <cell r="C1873" t="str">
            <v xml:space="preserve">عملاء كاش </v>
          </cell>
          <cell r="D1873" t="str">
            <v>Mona Mohamed</v>
          </cell>
        </row>
        <row r="1874">
          <cell r="A1874" t="str">
            <v>الوحش</v>
          </cell>
          <cell r="B1874" t="str">
            <v>Horeca Smart</v>
          </cell>
          <cell r="C1874" t="str">
            <v xml:space="preserve">عملاء كاش </v>
          </cell>
          <cell r="D1874" t="str">
            <v>Lames Magdy</v>
          </cell>
        </row>
        <row r="1875">
          <cell r="A1875" t="str">
            <v>الياسمين الدمشقى</v>
          </cell>
          <cell r="B1875" t="str">
            <v>Horeca Smart</v>
          </cell>
          <cell r="C1875" t="str">
            <v xml:space="preserve">عملاء كاش </v>
          </cell>
          <cell r="D1875" t="str">
            <v>Lames Magdy</v>
          </cell>
        </row>
        <row r="1876">
          <cell r="A1876" t="str">
            <v>اليسر للتوريدات</v>
          </cell>
          <cell r="B1876" t="str">
            <v>Horeca Smart</v>
          </cell>
          <cell r="C1876" t="str">
            <v xml:space="preserve">عملاء كاش </v>
          </cell>
          <cell r="D1876" t="str">
            <v>Mona Mohamed</v>
          </cell>
        </row>
        <row r="1877">
          <cell r="A1877" t="str">
            <v>ام النور</v>
          </cell>
          <cell r="B1877" t="str">
            <v>Horeca Smart</v>
          </cell>
          <cell r="C1877" t="str">
            <v xml:space="preserve">عملاء كاش </v>
          </cell>
          <cell r="D1877" t="str">
            <v>Donia Khaled</v>
          </cell>
        </row>
        <row r="1878">
          <cell r="A1878" t="str">
            <v>ام عزيز السوري</v>
          </cell>
          <cell r="B1878" t="str">
            <v>Horeca Smart</v>
          </cell>
          <cell r="C1878" t="str">
            <v xml:space="preserve">عملاء كاش </v>
          </cell>
          <cell r="D1878" t="str">
            <v>Lames Magdy</v>
          </cell>
        </row>
        <row r="1879">
          <cell r="A1879" t="str">
            <v>اميتشى جاردن</v>
          </cell>
          <cell r="B1879" t="str">
            <v>Horeca Smart</v>
          </cell>
          <cell r="C1879" t="str">
            <v xml:space="preserve">عملاء كاش </v>
          </cell>
          <cell r="D1879" t="str">
            <v>Naden Amgad</v>
          </cell>
        </row>
        <row r="1880">
          <cell r="A1880" t="str">
            <v>اميجوس بيكري</v>
          </cell>
          <cell r="B1880" t="str">
            <v>Horeca Smart</v>
          </cell>
          <cell r="C1880" t="str">
            <v xml:space="preserve">عملاء كاش </v>
          </cell>
          <cell r="D1880" t="str">
            <v>Mona Mohamed</v>
          </cell>
        </row>
        <row r="1881">
          <cell r="A1881" t="str">
            <v>ان بوكس برجر</v>
          </cell>
          <cell r="B1881" t="str">
            <v>Horeca Smart</v>
          </cell>
          <cell r="C1881" t="str">
            <v xml:space="preserve">عملاء كاش </v>
          </cell>
          <cell r="D1881" t="str">
            <v>Lames Magdy</v>
          </cell>
        </row>
        <row r="1882">
          <cell r="A1882" t="str">
            <v>انا و تيتا</v>
          </cell>
          <cell r="B1882" t="str">
            <v>Horeca Smart</v>
          </cell>
          <cell r="C1882" t="str">
            <v xml:space="preserve">عملاء كاش </v>
          </cell>
          <cell r="D1882" t="str">
            <v>Lames Magdy</v>
          </cell>
        </row>
        <row r="1883">
          <cell r="A1883" t="str">
            <v>انتيكا</v>
          </cell>
        </row>
        <row r="1884">
          <cell r="A1884" t="str">
            <v>انتيكانو</v>
          </cell>
          <cell r="B1884" t="str">
            <v>Horeca Smart</v>
          </cell>
          <cell r="C1884" t="str">
            <v xml:space="preserve">عملاء كاش </v>
          </cell>
          <cell r="D1884" t="str">
            <v>Lames Magdy</v>
          </cell>
        </row>
        <row r="1885">
          <cell r="A1885" t="str">
            <v>انديا</v>
          </cell>
          <cell r="B1885" t="str">
            <v>Horeca Smart</v>
          </cell>
          <cell r="C1885" t="str">
            <v xml:space="preserve">عملاء كاش </v>
          </cell>
          <cell r="D1885" t="str">
            <v>Lames Magdy</v>
          </cell>
        </row>
        <row r="1886">
          <cell r="A1886" t="str">
            <v>انديان</v>
          </cell>
          <cell r="B1886" t="str">
            <v>Horeca Smart</v>
          </cell>
          <cell r="C1886" t="str">
            <v xml:space="preserve">عملاء كاش </v>
          </cell>
          <cell r="D1886" t="str">
            <v>Donia Khaled</v>
          </cell>
        </row>
        <row r="1887">
          <cell r="A1887" t="str">
            <v>اهواك</v>
          </cell>
          <cell r="B1887" t="str">
            <v>Horeca Smart</v>
          </cell>
          <cell r="C1887" t="str">
            <v xml:space="preserve">عملاء كاش </v>
          </cell>
          <cell r="D1887" t="str">
            <v>Donia Khaled</v>
          </cell>
        </row>
        <row r="1888">
          <cell r="A1888" t="str">
            <v>اوسلو</v>
          </cell>
          <cell r="B1888" t="str">
            <v>Horeca Smart</v>
          </cell>
          <cell r="C1888" t="str">
            <v xml:space="preserve">عملاء كاش </v>
          </cell>
          <cell r="D1888" t="str">
            <v>Mona Mohamed</v>
          </cell>
        </row>
        <row r="1889">
          <cell r="A1889" t="str">
            <v>اوشن</v>
          </cell>
          <cell r="B1889" t="str">
            <v>MAS</v>
          </cell>
          <cell r="C1889" t="str">
            <v xml:space="preserve">عملاء كاش </v>
          </cell>
          <cell r="D1889" t="str">
            <v>Haddil Haron</v>
          </cell>
        </row>
        <row r="1890">
          <cell r="A1890" t="str">
            <v>اوكتا</v>
          </cell>
          <cell r="B1890" t="str">
            <v>Horeca Smart</v>
          </cell>
          <cell r="C1890" t="str">
            <v xml:space="preserve">عملاء كاش </v>
          </cell>
          <cell r="D1890" t="str">
            <v>Mona Mohamed</v>
          </cell>
        </row>
        <row r="1891">
          <cell r="A1891" t="str">
            <v>اولاد البلد</v>
          </cell>
          <cell r="B1891" t="str">
            <v>Horeca Smart</v>
          </cell>
          <cell r="C1891" t="str">
            <v xml:space="preserve">عملاء كاش </v>
          </cell>
          <cell r="D1891" t="str">
            <v>Donia Khaled</v>
          </cell>
        </row>
        <row r="1892">
          <cell r="A1892" t="str">
            <v>اولاد العيسوى</v>
          </cell>
          <cell r="B1892" t="str">
            <v>Horeca Smart</v>
          </cell>
          <cell r="C1892" t="str">
            <v xml:space="preserve">عملاء كاش </v>
          </cell>
          <cell r="D1892" t="str">
            <v>Naden Amgad</v>
          </cell>
        </row>
        <row r="1893">
          <cell r="A1893" t="str">
            <v>اولاد بدر</v>
          </cell>
          <cell r="B1893" t="str">
            <v>Horeca Smart</v>
          </cell>
          <cell r="C1893" t="str">
            <v xml:space="preserve">عملاء كاش </v>
          </cell>
          <cell r="D1893" t="str">
            <v>Naden Amgad</v>
          </cell>
        </row>
        <row r="1894">
          <cell r="A1894" t="str">
            <v>اولاد حسين علي فرج</v>
          </cell>
          <cell r="B1894" t="str">
            <v>Horeca Smart</v>
          </cell>
          <cell r="C1894" t="str">
            <v xml:space="preserve">عملاء كاش </v>
          </cell>
          <cell r="D1894" t="str">
            <v>Naden Amgad</v>
          </cell>
        </row>
        <row r="1895">
          <cell r="A1895" t="str">
            <v>اولاد مرزوق</v>
          </cell>
          <cell r="B1895" t="str">
            <v>Horeca Smart</v>
          </cell>
          <cell r="C1895" t="str">
            <v xml:space="preserve">عملاء كاش </v>
          </cell>
          <cell r="D1895" t="str">
            <v>Lames Magdy</v>
          </cell>
        </row>
        <row r="1896">
          <cell r="A1896" t="str">
            <v>اونكل درينك</v>
          </cell>
          <cell r="B1896" t="str">
            <v>Horeca Smart</v>
          </cell>
          <cell r="C1896" t="str">
            <v xml:space="preserve">عملاء كاش </v>
          </cell>
          <cell r="D1896" t="str">
            <v>Lames Magdy</v>
          </cell>
        </row>
        <row r="1897">
          <cell r="A1897" t="str">
            <v>ايتاب نوفال للمطاعم</v>
          </cell>
          <cell r="B1897" t="str">
            <v>Horeca Smart</v>
          </cell>
          <cell r="C1897" t="str">
            <v xml:space="preserve">عملاء كاش </v>
          </cell>
          <cell r="D1897" t="str">
            <v>Mona Mohamed</v>
          </cell>
        </row>
        <row r="1898">
          <cell r="A1898" t="str">
            <v>ايجي جات</v>
          </cell>
          <cell r="B1898" t="str">
            <v>Horeca Smart</v>
          </cell>
          <cell r="C1898" t="str">
            <v xml:space="preserve">عملاء كاش </v>
          </cell>
          <cell r="D1898" t="str">
            <v>Naden Amgad</v>
          </cell>
        </row>
        <row r="1899">
          <cell r="A1899" t="str">
            <v>ايجيبت افريقان للتوريدات والتجارة</v>
          </cell>
          <cell r="B1899" t="str">
            <v>Horeca Smart</v>
          </cell>
          <cell r="C1899" t="str">
            <v>موردين كاش</v>
          </cell>
          <cell r="D1899" t="str">
            <v>Amgad Ahmed</v>
          </cell>
        </row>
        <row r="1900">
          <cell r="A1900" t="str">
            <v>ايس كريم جيلاتية</v>
          </cell>
          <cell r="B1900" t="str">
            <v>Horeca Smart</v>
          </cell>
          <cell r="C1900" t="str">
            <v xml:space="preserve">عملاء كاش </v>
          </cell>
          <cell r="D1900" t="str">
            <v>Naden Amgad</v>
          </cell>
        </row>
        <row r="1901">
          <cell r="A1901" t="str">
            <v>ايطاليانو</v>
          </cell>
          <cell r="B1901" t="str">
            <v>Horeca Smart</v>
          </cell>
          <cell r="C1901" t="str">
            <v xml:space="preserve">عملاء كاش </v>
          </cell>
          <cell r="D1901" t="str">
            <v>Reham Maher</v>
          </cell>
        </row>
        <row r="1902">
          <cell r="A1902" t="str">
            <v>ايطالينوكو</v>
          </cell>
          <cell r="B1902" t="str">
            <v>Horeca Smart</v>
          </cell>
          <cell r="C1902" t="str">
            <v xml:space="preserve">عملاء كاش </v>
          </cell>
          <cell r="D1902" t="str">
            <v>Lames Magdy</v>
          </cell>
        </row>
        <row r="1903">
          <cell r="A1903" t="str">
            <v>ايطالينوكو, ايطالينوكو, سيتي ستارز</v>
          </cell>
          <cell r="B1903" t="str">
            <v>Horeca Smart</v>
          </cell>
          <cell r="C1903" t="str">
            <v xml:space="preserve">عملاء كاش </v>
          </cell>
          <cell r="D1903" t="str">
            <v>Lames Magdy</v>
          </cell>
        </row>
        <row r="1904">
          <cell r="A1904" t="str">
            <v>ايطالينوكو, ايطالينوكو, نايل سيتي</v>
          </cell>
          <cell r="B1904" t="str">
            <v>Horeca Smart</v>
          </cell>
          <cell r="C1904" t="str">
            <v xml:space="preserve">عملاء كاش </v>
          </cell>
          <cell r="D1904" t="str">
            <v>Donia Khaled</v>
          </cell>
        </row>
        <row r="1905">
          <cell r="A1905" t="str">
            <v>ايلينا</v>
          </cell>
          <cell r="B1905" t="str">
            <v>Horeca Smart</v>
          </cell>
          <cell r="C1905" t="str">
            <v xml:space="preserve">عملاء كاش </v>
          </cell>
          <cell r="D1905" t="str">
            <v>Donia Khaled</v>
          </cell>
        </row>
        <row r="1906">
          <cell r="A1906" t="str">
            <v>ايمكو للاستثمار السياحى</v>
          </cell>
          <cell r="B1906" t="str">
            <v>Horeca Smart</v>
          </cell>
          <cell r="C1906" t="str">
            <v xml:space="preserve">عملاء كاش </v>
          </cell>
          <cell r="D1906" t="str">
            <v>Donia Khaled</v>
          </cell>
        </row>
        <row r="1907">
          <cell r="A1907" t="str">
            <v>ايه ال تي للتوريدات العمومية والتشطيبات</v>
          </cell>
          <cell r="B1907" t="str">
            <v>MAS</v>
          </cell>
          <cell r="C1907" t="str">
            <v>موردين كاش</v>
          </cell>
          <cell r="D1907" t="str">
            <v>Amgad Ahmed</v>
          </cell>
        </row>
        <row r="1908">
          <cell r="A1908" t="str">
            <v>ايهاب خليل</v>
          </cell>
          <cell r="C1908" t="str">
            <v xml:space="preserve">عملاء كاش </v>
          </cell>
        </row>
        <row r="1909">
          <cell r="A1909" t="str">
            <v>ايڤين فوود</v>
          </cell>
          <cell r="B1909" t="str">
            <v>Horeca Smart</v>
          </cell>
          <cell r="C1909" t="str">
            <v xml:space="preserve">عملاء كاش </v>
          </cell>
          <cell r="D1909" t="str">
            <v>Donia Khaled</v>
          </cell>
        </row>
        <row r="1910">
          <cell r="A1910" t="str">
            <v>بائعة الكحك</v>
          </cell>
          <cell r="B1910" t="str">
            <v>Horeca Smart</v>
          </cell>
          <cell r="C1910" t="str">
            <v xml:space="preserve">عملاء كاش </v>
          </cell>
          <cell r="D1910" t="str">
            <v>Donia Khaled</v>
          </cell>
        </row>
        <row r="1911">
          <cell r="A1911" t="str">
            <v>باب الحاره</v>
          </cell>
          <cell r="B1911" t="str">
            <v>Horeca Smart</v>
          </cell>
          <cell r="C1911" t="str">
            <v xml:space="preserve">عملاء كاش </v>
          </cell>
          <cell r="D1911" t="str">
            <v>Donia Khaled</v>
          </cell>
        </row>
        <row r="1912">
          <cell r="A1912" t="str">
            <v>باب اليمن</v>
          </cell>
          <cell r="B1912" t="str">
            <v>Horeca Smart</v>
          </cell>
          <cell r="C1912" t="str">
            <v xml:space="preserve">عملاء كاش </v>
          </cell>
          <cell r="D1912" t="str">
            <v>Donia Khaled</v>
          </cell>
        </row>
        <row r="1913">
          <cell r="A1913" t="str">
            <v>بابا جويس</v>
          </cell>
          <cell r="B1913" t="str">
            <v>Horeca Smart</v>
          </cell>
          <cell r="C1913" t="str">
            <v xml:space="preserve">عملاء كاش </v>
          </cell>
          <cell r="D1913" t="str">
            <v>Mona Mohamed</v>
          </cell>
        </row>
        <row r="1914">
          <cell r="A1914" t="str">
            <v>باتون ساليه</v>
          </cell>
          <cell r="B1914" t="str">
            <v>Horeca Smart</v>
          </cell>
          <cell r="C1914" t="str">
            <v xml:space="preserve">عملاء كاش </v>
          </cell>
          <cell r="D1914" t="str">
            <v>Donia Khaled</v>
          </cell>
        </row>
        <row r="1915">
          <cell r="A1915" t="str">
            <v>باريستا مان</v>
          </cell>
          <cell r="B1915" t="str">
            <v>Horeca Smart</v>
          </cell>
          <cell r="C1915" t="str">
            <v xml:space="preserve">عملاء كاش </v>
          </cell>
          <cell r="D1915" t="str">
            <v>Naden Amgad</v>
          </cell>
        </row>
        <row r="1916">
          <cell r="A1916" t="str">
            <v>باسم سعودى</v>
          </cell>
          <cell r="B1916" t="str">
            <v>Horeca Smart</v>
          </cell>
          <cell r="C1916" t="str">
            <v xml:space="preserve">عملاء كاش </v>
          </cell>
          <cell r="D1916" t="str">
            <v>Donia Khaled</v>
          </cell>
        </row>
        <row r="1917">
          <cell r="A1917" t="str">
            <v>بترو سبور</v>
          </cell>
          <cell r="B1917" t="str">
            <v>Horeca Smart</v>
          </cell>
          <cell r="C1917" t="str">
            <v xml:space="preserve">عملاء كاش </v>
          </cell>
          <cell r="D1917" t="str">
            <v>Donia Khaled</v>
          </cell>
        </row>
        <row r="1918">
          <cell r="A1918" t="str">
            <v>بدوى للتوريدات</v>
          </cell>
          <cell r="B1918" t="str">
            <v>Horeca Smart</v>
          </cell>
          <cell r="C1918" t="str">
            <v xml:space="preserve">عملاء كاش </v>
          </cell>
          <cell r="D1918" t="str">
            <v>Lames Magdy</v>
          </cell>
        </row>
        <row r="1919">
          <cell r="A1919" t="str">
            <v>برجر بوبا</v>
          </cell>
          <cell r="B1919" t="str">
            <v>Horeca Smart</v>
          </cell>
          <cell r="C1919" t="str">
            <v xml:space="preserve">عملاء كاش </v>
          </cell>
          <cell r="D1919" t="str">
            <v>Donia Khaled</v>
          </cell>
        </row>
        <row r="1920">
          <cell r="A1920" t="str">
            <v>برجر دقدق</v>
          </cell>
          <cell r="B1920" t="str">
            <v>Horeca Smart</v>
          </cell>
          <cell r="C1920" t="str">
            <v xml:space="preserve">عملاء كاش </v>
          </cell>
          <cell r="D1920" t="str">
            <v>Lames Magdy</v>
          </cell>
        </row>
        <row r="1921">
          <cell r="A1921" t="str">
            <v>برجر دوبامين</v>
          </cell>
          <cell r="B1921" t="str">
            <v>Horeca Smart</v>
          </cell>
          <cell r="C1921" t="str">
            <v xml:space="preserve">عملاء كاش </v>
          </cell>
          <cell r="D1921" t="str">
            <v>Donia Khaled</v>
          </cell>
        </row>
        <row r="1922">
          <cell r="A1922" t="str">
            <v>برجر سنايبر</v>
          </cell>
          <cell r="B1922" t="str">
            <v>Horeca Smart</v>
          </cell>
          <cell r="C1922" t="str">
            <v xml:space="preserve">عملاء كاش </v>
          </cell>
          <cell r="D1922" t="str">
            <v>Hager Ahmed</v>
          </cell>
        </row>
        <row r="1923">
          <cell r="A1923" t="str">
            <v>برجر كوابيس</v>
          </cell>
          <cell r="B1923" t="str">
            <v>Horeca Smart</v>
          </cell>
          <cell r="C1923" t="str">
            <v xml:space="preserve">عملاء كاش </v>
          </cell>
          <cell r="D1923" t="str">
            <v>Hager Ahmed</v>
          </cell>
        </row>
        <row r="1924">
          <cell r="A1924" t="str">
            <v>برجر نيو يورك</v>
          </cell>
          <cell r="B1924" t="str">
            <v>Horeca Smart</v>
          </cell>
          <cell r="C1924" t="str">
            <v xml:space="preserve">عملاء كاش </v>
          </cell>
          <cell r="D1924" t="str">
            <v>Naden Amgad</v>
          </cell>
        </row>
        <row r="1925">
          <cell r="A1925" t="str">
            <v>برجوان</v>
          </cell>
          <cell r="B1925" t="str">
            <v>Horeca Smart</v>
          </cell>
          <cell r="C1925" t="str">
            <v xml:space="preserve">عملاء كاش </v>
          </cell>
          <cell r="D1925" t="str">
            <v>Donia Khaled</v>
          </cell>
        </row>
        <row r="1926">
          <cell r="A1926" t="str">
            <v>برو نوديلز</v>
          </cell>
          <cell r="B1926" t="str">
            <v>Horeca Smart</v>
          </cell>
          <cell r="C1926" t="str">
            <v xml:space="preserve">عملاء كاش </v>
          </cell>
          <cell r="D1926" t="str">
            <v>Donia Khaled</v>
          </cell>
        </row>
        <row r="1927">
          <cell r="A1927" t="str">
            <v>بريتوفود</v>
          </cell>
          <cell r="B1927" t="str">
            <v>Horeca Smart</v>
          </cell>
          <cell r="C1927" t="str">
            <v>موردين كاش</v>
          </cell>
          <cell r="D1927" t="str">
            <v>Amgad Ahmed</v>
          </cell>
        </row>
        <row r="1928">
          <cell r="A1928" t="str">
            <v>بساطة</v>
          </cell>
          <cell r="B1928" t="str">
            <v>Horeca Smart</v>
          </cell>
          <cell r="C1928" t="str">
            <v xml:space="preserve">عملاء كاش </v>
          </cell>
          <cell r="D1928" t="str">
            <v>Naden Amgad</v>
          </cell>
        </row>
        <row r="1929">
          <cell r="A1929" t="str">
            <v>بست فودز للمطاعم المولينو</v>
          </cell>
          <cell r="B1929" t="str">
            <v>Horeca Smart</v>
          </cell>
          <cell r="C1929" t="str">
            <v xml:space="preserve">عملاء كاش </v>
          </cell>
          <cell r="D1929" t="str">
            <v>Donia Khaled</v>
          </cell>
        </row>
        <row r="1930">
          <cell r="A1930" t="str">
            <v>بسمسم</v>
          </cell>
          <cell r="B1930" t="str">
            <v>Horeca Smart</v>
          </cell>
          <cell r="C1930" t="str">
            <v xml:space="preserve">عملاء كاش </v>
          </cell>
          <cell r="D1930" t="str">
            <v>Donia Khaled</v>
          </cell>
        </row>
        <row r="1931">
          <cell r="A1931" t="str">
            <v>بشرة خير</v>
          </cell>
          <cell r="B1931" t="str">
            <v>Horeca Smart</v>
          </cell>
          <cell r="C1931" t="str">
            <v xml:space="preserve">عملاء كاش </v>
          </cell>
          <cell r="D1931" t="str">
            <v>Rasha Hassan</v>
          </cell>
        </row>
        <row r="1932">
          <cell r="A1932" t="str">
            <v>بضاعة منتهية الصلاحية</v>
          </cell>
          <cell r="C1932" t="str">
            <v xml:space="preserve">عملاء كاش </v>
          </cell>
        </row>
        <row r="1933">
          <cell r="A1933" t="str">
            <v>بطاطس اند بطاطا</v>
          </cell>
          <cell r="B1933" t="str">
            <v>Horeca Smart</v>
          </cell>
          <cell r="C1933" t="str">
            <v xml:space="preserve">عملاء كاش </v>
          </cell>
          <cell r="D1933" t="str">
            <v>Donia Khaled</v>
          </cell>
        </row>
        <row r="1934">
          <cell r="A1934" t="str">
            <v>بطاطس اند زلابية</v>
          </cell>
          <cell r="B1934" t="str">
            <v>Horeca Smart</v>
          </cell>
          <cell r="C1934" t="str">
            <v xml:space="preserve">عملاء كاش </v>
          </cell>
          <cell r="D1934" t="str">
            <v>Donia Khaled</v>
          </cell>
        </row>
        <row r="1935">
          <cell r="A1935" t="str">
            <v>بطاطس اند زلابية, بطاطس اند زلابية, التجمع</v>
          </cell>
          <cell r="B1935" t="str">
            <v>Horeca Smart</v>
          </cell>
          <cell r="C1935" t="str">
            <v xml:space="preserve">عملاء كاش </v>
          </cell>
          <cell r="D1935" t="str">
            <v>Donia Khaled</v>
          </cell>
        </row>
        <row r="1936">
          <cell r="A1936" t="str">
            <v>بطاطس اند زلابية, بطاطس اند زلابية, المعادى</v>
          </cell>
          <cell r="B1936" t="str">
            <v>Horeca Smart</v>
          </cell>
          <cell r="C1936" t="str">
            <v xml:space="preserve">عملاء كاش </v>
          </cell>
          <cell r="D1936" t="str">
            <v>Mona Mohamed</v>
          </cell>
        </row>
        <row r="1937">
          <cell r="A1937" t="str">
            <v>بلو هاوس</v>
          </cell>
          <cell r="B1937" t="str">
            <v>Horeca Smart</v>
          </cell>
          <cell r="C1937" t="str">
            <v xml:space="preserve">عملاء كاش </v>
          </cell>
          <cell r="D1937" t="str">
            <v>Lames Magdy</v>
          </cell>
        </row>
        <row r="1938">
          <cell r="A1938" t="str">
            <v>بليسمو كافية</v>
          </cell>
          <cell r="B1938" t="str">
            <v>Horeca Smart</v>
          </cell>
          <cell r="C1938" t="str">
            <v xml:space="preserve">عملاء كاش </v>
          </cell>
          <cell r="D1938" t="str">
            <v>Donia Khaled</v>
          </cell>
        </row>
        <row r="1939">
          <cell r="A1939" t="str">
            <v>بن السعودي</v>
          </cell>
          <cell r="B1939" t="str">
            <v>Horeca Smart</v>
          </cell>
          <cell r="C1939" t="str">
            <v xml:space="preserve">عملاء كاش </v>
          </cell>
          <cell r="D1939" t="str">
            <v>Lames Magdy</v>
          </cell>
        </row>
        <row r="1940">
          <cell r="A1940" t="str">
            <v>بن العرقان</v>
          </cell>
          <cell r="B1940" t="str">
            <v>Horeca Smart</v>
          </cell>
          <cell r="C1940" t="str">
            <v xml:space="preserve">عملاء كاش </v>
          </cell>
          <cell r="D1940" t="str">
            <v>Donia Khaled</v>
          </cell>
        </row>
        <row r="1941">
          <cell r="A1941" t="str">
            <v>بن جوسيان</v>
          </cell>
          <cell r="B1941" t="str">
            <v>Horeca Smart</v>
          </cell>
          <cell r="C1941" t="str">
            <v xml:space="preserve">عملاء كاش </v>
          </cell>
          <cell r="D1941" t="str">
            <v>Naden Amgad</v>
          </cell>
        </row>
        <row r="1942">
          <cell r="A1942" t="str">
            <v>بن عامر</v>
          </cell>
          <cell r="B1942" t="str">
            <v>Horeca Smart</v>
          </cell>
          <cell r="C1942" t="str">
            <v xml:space="preserve">عملاء كاش </v>
          </cell>
          <cell r="D1942" t="str">
            <v>Lames Magdy</v>
          </cell>
        </row>
        <row r="1943">
          <cell r="A1943" t="str">
            <v>بن وسيم</v>
          </cell>
          <cell r="B1943" t="str">
            <v>Horeca Smart</v>
          </cell>
          <cell r="C1943" t="str">
            <v xml:space="preserve">عملاء كاش </v>
          </cell>
          <cell r="D1943" t="str">
            <v>Lames Magdy</v>
          </cell>
        </row>
        <row r="1944">
          <cell r="A1944" t="str">
            <v>بن يلدز</v>
          </cell>
          <cell r="B1944" t="str">
            <v>Horeca Smart</v>
          </cell>
          <cell r="C1944" t="str">
            <v xml:space="preserve">عملاء كاش </v>
          </cell>
          <cell r="D1944" t="str">
            <v>Donia Khaled</v>
          </cell>
        </row>
        <row r="1945">
          <cell r="A1945" t="str">
            <v>بن يلدز, بن يلدز, التجمع</v>
          </cell>
          <cell r="B1945" t="str">
            <v>Horeca Smart</v>
          </cell>
          <cell r="C1945" t="str">
            <v xml:space="preserve">عملاء كاش </v>
          </cell>
          <cell r="D1945" t="str">
            <v>Donia Khaled</v>
          </cell>
        </row>
        <row r="1946">
          <cell r="A1946" t="str">
            <v>بن يلدز, بن يلدز, مقطم</v>
          </cell>
          <cell r="B1946" t="str">
            <v>Horeca Smart</v>
          </cell>
          <cell r="C1946" t="str">
            <v xml:space="preserve">عملاء كاش </v>
          </cell>
          <cell r="D1946" t="str">
            <v>Donia Khaled</v>
          </cell>
        </row>
        <row r="1947">
          <cell r="A1947" t="str">
            <v>بهجت</v>
          </cell>
          <cell r="B1947" t="str">
            <v>Horeca Smart</v>
          </cell>
          <cell r="C1947" t="str">
            <v xml:space="preserve">عملاء كاش </v>
          </cell>
          <cell r="D1947" t="str">
            <v>Lames Magdy</v>
          </cell>
        </row>
        <row r="1948">
          <cell r="A1948" t="str">
            <v>بوب برجر</v>
          </cell>
          <cell r="B1948" t="str">
            <v>Horeca Smart</v>
          </cell>
          <cell r="C1948" t="str">
            <v xml:space="preserve">عملاء كاش </v>
          </cell>
          <cell r="D1948" t="str">
            <v>Donia Khaled</v>
          </cell>
        </row>
        <row r="1949">
          <cell r="A1949" t="str">
            <v>بوب سوشي - زايد</v>
          </cell>
          <cell r="B1949" t="str">
            <v>Horeca Smart</v>
          </cell>
          <cell r="C1949" t="str">
            <v xml:space="preserve">عملاء كاش </v>
          </cell>
          <cell r="D1949" t="str">
            <v>Naden Amgad</v>
          </cell>
        </row>
        <row r="1950">
          <cell r="A1950" t="str">
            <v>بوخاريست</v>
          </cell>
          <cell r="B1950" t="str">
            <v>Horeca Smart</v>
          </cell>
          <cell r="C1950" t="str">
            <v xml:space="preserve">عملاء كاش </v>
          </cell>
          <cell r="D1950" t="str">
            <v>Donia Khaled</v>
          </cell>
        </row>
        <row r="1951">
          <cell r="A1951" t="str">
            <v>بوخاريست فرنشيز</v>
          </cell>
          <cell r="B1951" t="str">
            <v>MAS</v>
          </cell>
          <cell r="C1951" t="str">
            <v xml:space="preserve">عملاء كاش </v>
          </cell>
          <cell r="D1951" t="str">
            <v>Haddil Haron</v>
          </cell>
        </row>
        <row r="1952">
          <cell r="A1952" t="str">
            <v>بوخاريست, بوخاريست, التجمع</v>
          </cell>
          <cell r="B1952" t="str">
            <v>Horeca Smart</v>
          </cell>
          <cell r="C1952" t="str">
            <v xml:space="preserve">عملاء كاش </v>
          </cell>
          <cell r="D1952" t="str">
            <v>Lames Magdy</v>
          </cell>
        </row>
        <row r="1953">
          <cell r="A1953" t="str">
            <v>بوخاريست, بوخاريست, الدقي</v>
          </cell>
          <cell r="B1953" t="str">
            <v>Horeca Smart</v>
          </cell>
          <cell r="C1953" t="str">
            <v xml:space="preserve">عملاء كاش </v>
          </cell>
          <cell r="D1953" t="str">
            <v>Reham Maher</v>
          </cell>
        </row>
        <row r="1954">
          <cell r="A1954" t="str">
            <v>بوخاريست, بوخاريست, مصر الجديدة</v>
          </cell>
          <cell r="B1954" t="str">
            <v>Horeca Smart</v>
          </cell>
          <cell r="C1954" t="str">
            <v xml:space="preserve">عملاء كاش </v>
          </cell>
          <cell r="D1954" t="str">
            <v>Donia Khaled</v>
          </cell>
        </row>
        <row r="1955">
          <cell r="A1955" t="str">
            <v>بوصلة لأدارة المطاعم</v>
          </cell>
          <cell r="B1955" t="str">
            <v>Horeca Smart</v>
          </cell>
          <cell r="C1955" t="str">
            <v xml:space="preserve">عملاء كاش </v>
          </cell>
          <cell r="D1955" t="str">
            <v>Naden Amgad</v>
          </cell>
        </row>
        <row r="1956">
          <cell r="A1956" t="str">
            <v>بوليدو جروب للصناعات الغذائية</v>
          </cell>
          <cell r="B1956" t="str">
            <v>Horeca Smart</v>
          </cell>
          <cell r="C1956" t="str">
            <v xml:space="preserve">عملاء كاش </v>
          </cell>
          <cell r="D1956" t="str">
            <v>Naden Amgad</v>
          </cell>
        </row>
        <row r="1957">
          <cell r="A1957" t="str">
            <v>بون فروت</v>
          </cell>
          <cell r="B1957" t="str">
            <v>Horeca Smart</v>
          </cell>
          <cell r="C1957" t="str">
            <v xml:space="preserve">عملاء كاش </v>
          </cell>
          <cell r="D1957" t="str">
            <v>Lames Magdy</v>
          </cell>
        </row>
        <row r="1958">
          <cell r="A1958" t="str">
            <v>بي جورى للتوريدات</v>
          </cell>
          <cell r="B1958" t="str">
            <v>Horeca Smart</v>
          </cell>
          <cell r="C1958" t="str">
            <v xml:space="preserve">عملاء كاش </v>
          </cell>
          <cell r="D1958" t="str">
            <v>Donia Khaled</v>
          </cell>
        </row>
        <row r="1959">
          <cell r="A1959" t="str">
            <v>بيبسي</v>
          </cell>
          <cell r="B1959" t="str">
            <v>MAS</v>
          </cell>
          <cell r="C1959" t="str">
            <v>موردين كاش</v>
          </cell>
          <cell r="D1959" t="str">
            <v>Amgad Ahmed</v>
          </cell>
        </row>
        <row r="1960">
          <cell r="A1960" t="str">
            <v>بيت الرفاعى</v>
          </cell>
          <cell r="B1960" t="str">
            <v>Horeca Smart</v>
          </cell>
          <cell r="C1960" t="str">
            <v xml:space="preserve">عملاء كاش </v>
          </cell>
          <cell r="D1960" t="str">
            <v>Naden Amgad</v>
          </cell>
        </row>
        <row r="1961">
          <cell r="A1961" t="str">
            <v>بيت الشام</v>
          </cell>
          <cell r="B1961" t="str">
            <v>Horeca Smart</v>
          </cell>
          <cell r="C1961" t="str">
            <v xml:space="preserve">عملاء كاش </v>
          </cell>
          <cell r="D1961" t="str">
            <v>Naden Amgad</v>
          </cell>
        </row>
        <row r="1962">
          <cell r="A1962" t="str">
            <v>بيت العيله</v>
          </cell>
          <cell r="B1962" t="str">
            <v>Horeca Smart</v>
          </cell>
          <cell r="C1962" t="str">
            <v xml:space="preserve">عملاء كاش </v>
          </cell>
          <cell r="D1962" t="str">
            <v>Reham Maher</v>
          </cell>
        </row>
        <row r="1963">
          <cell r="A1963" t="str">
            <v>بيت الكومى</v>
          </cell>
          <cell r="B1963" t="str">
            <v>Horeca Smart</v>
          </cell>
          <cell r="C1963" t="str">
            <v xml:space="preserve">عملاء كاش </v>
          </cell>
          <cell r="D1963" t="str">
            <v>Mona Mohamed</v>
          </cell>
        </row>
        <row r="1964">
          <cell r="A1964" t="str">
            <v>بيت المشويات</v>
          </cell>
          <cell r="B1964" t="str">
            <v>Horeca Smart</v>
          </cell>
          <cell r="C1964" t="str">
            <v xml:space="preserve">عملاء كاش </v>
          </cell>
          <cell r="D1964" t="str">
            <v>Donia Khaled</v>
          </cell>
        </row>
        <row r="1965">
          <cell r="A1965" t="str">
            <v>بيت ولاد رزق, بيت ولاد رزق, مدينة نصر</v>
          </cell>
          <cell r="B1965" t="str">
            <v>Horeca Smart</v>
          </cell>
          <cell r="C1965" t="str">
            <v xml:space="preserve">عملاء كاش </v>
          </cell>
          <cell r="D1965" t="str">
            <v>Reham Maher</v>
          </cell>
        </row>
        <row r="1966">
          <cell r="A1966" t="str">
            <v>بيت ولاد رزق, بيت ولاد رزق, مصر الجديدة</v>
          </cell>
          <cell r="B1966" t="str">
            <v>Horeca Smart</v>
          </cell>
          <cell r="C1966" t="str">
            <v xml:space="preserve">عملاء كاش </v>
          </cell>
          <cell r="D1966" t="str">
            <v>Reham Maher</v>
          </cell>
        </row>
        <row r="1967">
          <cell r="A1967" t="str">
            <v>بيتا بيتا</v>
          </cell>
          <cell r="B1967" t="str">
            <v>Horeca Smart</v>
          </cell>
          <cell r="C1967" t="str">
            <v xml:space="preserve">عملاء كاش </v>
          </cell>
          <cell r="D1967" t="str">
            <v>Donia Khaled</v>
          </cell>
        </row>
        <row r="1968">
          <cell r="A1968" t="str">
            <v>بيتزا What The crust</v>
          </cell>
          <cell r="B1968" t="str">
            <v>Horeca Smart</v>
          </cell>
          <cell r="C1968" t="str">
            <v xml:space="preserve">عملاء كاش </v>
          </cell>
          <cell r="D1968" t="str">
            <v>Donia Khaled</v>
          </cell>
        </row>
        <row r="1969">
          <cell r="A1969" t="str">
            <v>بيتزا استيشن</v>
          </cell>
          <cell r="B1969" t="str">
            <v>Horeca Smart</v>
          </cell>
          <cell r="C1969" t="str">
            <v xml:space="preserve">عملاء كاش </v>
          </cell>
          <cell r="D1969" t="str">
            <v>Lames Magdy</v>
          </cell>
        </row>
        <row r="1970">
          <cell r="A1970" t="str">
            <v>بيتزا اكشن</v>
          </cell>
          <cell r="B1970" t="str">
            <v>Horeca Smart</v>
          </cell>
          <cell r="C1970" t="str">
            <v xml:space="preserve">عملاء كاش </v>
          </cell>
          <cell r="D1970" t="str">
            <v>Lames Magdy</v>
          </cell>
        </row>
        <row r="1971">
          <cell r="A1971" t="str">
            <v>بيتزا الأمير</v>
          </cell>
          <cell r="B1971" t="str">
            <v>Horeca Smart</v>
          </cell>
          <cell r="C1971" t="str">
            <v xml:space="preserve">عملاء كاش </v>
          </cell>
          <cell r="D1971" t="str">
            <v>Naden Amgad</v>
          </cell>
        </row>
        <row r="1972">
          <cell r="A1972" t="str">
            <v>بيتزا الأمير, بيتزا الأمير, بيتزا الأمير, بيتزا الأمير - امبابة</v>
          </cell>
          <cell r="B1972" t="str">
            <v>Horeca Smart</v>
          </cell>
          <cell r="C1972" t="str">
            <v xml:space="preserve">عملاء كاش </v>
          </cell>
          <cell r="D1972" t="str">
            <v>Naden Amgad</v>
          </cell>
        </row>
        <row r="1973">
          <cell r="A1973" t="str">
            <v>بيتزا الأمير, بيتزا الأمير, بيتزا الأمير, بيتزا الامير - بولاق الدكرور</v>
          </cell>
          <cell r="B1973" t="str">
            <v>Horeca Smart</v>
          </cell>
          <cell r="C1973" t="str">
            <v xml:space="preserve">عملاء كاش </v>
          </cell>
          <cell r="D1973" t="str">
            <v>Naden Amgad</v>
          </cell>
        </row>
        <row r="1974">
          <cell r="A1974" t="str">
            <v>بيتزا الايمان</v>
          </cell>
          <cell r="B1974" t="str">
            <v>Horeca Smart</v>
          </cell>
          <cell r="C1974" t="str">
            <v xml:space="preserve">عملاء كاش </v>
          </cell>
          <cell r="D1974" t="str">
            <v>Lames Magdy</v>
          </cell>
        </row>
        <row r="1975">
          <cell r="A1975" t="str">
            <v>بيتزا البركة</v>
          </cell>
          <cell r="B1975" t="str">
            <v>Horeca Smart</v>
          </cell>
          <cell r="C1975" t="str">
            <v xml:space="preserve">عملاء كاش </v>
          </cell>
          <cell r="D1975" t="str">
            <v>Lames Magdy</v>
          </cell>
        </row>
        <row r="1976">
          <cell r="A1976" t="str">
            <v>بيتزا البنفسج</v>
          </cell>
          <cell r="B1976" t="str">
            <v>Horeca Smart</v>
          </cell>
          <cell r="C1976" t="str">
            <v xml:space="preserve">عملاء كاش </v>
          </cell>
          <cell r="D1976" t="str">
            <v>Lames Magdy</v>
          </cell>
        </row>
        <row r="1977">
          <cell r="A1977" t="str">
            <v>بيتزا الحرمين</v>
          </cell>
          <cell r="B1977" t="str">
            <v>Horeca Smart</v>
          </cell>
          <cell r="C1977" t="str">
            <v xml:space="preserve">عملاء كاش </v>
          </cell>
          <cell r="D1977" t="str">
            <v>Rasha Hassan</v>
          </cell>
        </row>
        <row r="1978">
          <cell r="A1978" t="str">
            <v>بيتزا الدمياطي</v>
          </cell>
          <cell r="B1978" t="str">
            <v>Horeca Smart</v>
          </cell>
          <cell r="C1978" t="str">
            <v xml:space="preserve">عملاء كاش </v>
          </cell>
          <cell r="D1978" t="str">
            <v>Lames Magdy</v>
          </cell>
        </row>
        <row r="1979">
          <cell r="A1979" t="str">
            <v>بيتزا الرحمة</v>
          </cell>
          <cell r="B1979" t="str">
            <v>Horeca Smart</v>
          </cell>
          <cell r="C1979" t="str">
            <v xml:space="preserve">عملاء كاش </v>
          </cell>
          <cell r="D1979" t="str">
            <v>Shorouk khaled</v>
          </cell>
        </row>
        <row r="1980">
          <cell r="A1980" t="str">
            <v>بيتزا السلال</v>
          </cell>
          <cell r="B1980" t="str">
            <v>Horeca Smart</v>
          </cell>
          <cell r="C1980" t="str">
            <v xml:space="preserve">عملاء كاش </v>
          </cell>
          <cell r="D1980" t="str">
            <v>Mona Mohamed</v>
          </cell>
        </row>
        <row r="1981">
          <cell r="A1981" t="str">
            <v>بيتزا السلطان</v>
          </cell>
          <cell r="B1981" t="str">
            <v>Horeca Smart</v>
          </cell>
          <cell r="C1981" t="str">
            <v xml:space="preserve">عملاء كاش </v>
          </cell>
          <cell r="D1981" t="str">
            <v>Lames Magdy</v>
          </cell>
        </row>
        <row r="1982">
          <cell r="A1982" t="str">
            <v>بيتزا السلطان, بيتزا السلطان, المنطقة الثامنة</v>
          </cell>
          <cell r="B1982" t="str">
            <v>Horeca Smart</v>
          </cell>
          <cell r="C1982" t="str">
            <v xml:space="preserve">عملاء كاش </v>
          </cell>
          <cell r="D1982" t="str">
            <v>Lames Magdy</v>
          </cell>
        </row>
        <row r="1983">
          <cell r="A1983" t="str">
            <v>بيتزا السلطان, بيتزا السلطان, عباس العقاد</v>
          </cell>
          <cell r="B1983" t="str">
            <v>Horeca Smart</v>
          </cell>
          <cell r="C1983" t="str">
            <v xml:space="preserve">عملاء كاش </v>
          </cell>
          <cell r="D1983" t="str">
            <v>Lames Magdy</v>
          </cell>
        </row>
        <row r="1984">
          <cell r="A1984" t="str">
            <v>بيتزا الشيخ</v>
          </cell>
          <cell r="B1984" t="str">
            <v>Horeca Smart</v>
          </cell>
          <cell r="C1984" t="str">
            <v xml:space="preserve">عملاء كاش </v>
          </cell>
          <cell r="D1984" t="str">
            <v>Lames Magdy</v>
          </cell>
        </row>
        <row r="1985">
          <cell r="A1985" t="str">
            <v>بيتزا الفلاح</v>
          </cell>
          <cell r="B1985" t="str">
            <v>Horeca Smart</v>
          </cell>
          <cell r="C1985" t="str">
            <v xml:space="preserve">عملاء كاش </v>
          </cell>
          <cell r="D1985" t="str">
            <v>Shorouk khaled</v>
          </cell>
        </row>
        <row r="1986">
          <cell r="A1986" t="str">
            <v>بيتزا القليوبى</v>
          </cell>
          <cell r="B1986" t="str">
            <v>Horeca Smart</v>
          </cell>
          <cell r="C1986" t="str">
            <v xml:space="preserve">عملاء كاش </v>
          </cell>
          <cell r="D1986" t="str">
            <v>Shorouk khaled</v>
          </cell>
        </row>
        <row r="1987">
          <cell r="A1987" t="str">
            <v>بيتزا المدملك, بيتزا المدملك, الشروق</v>
          </cell>
          <cell r="B1987" t="str">
            <v>Horeca Smart</v>
          </cell>
          <cell r="C1987" t="str">
            <v xml:space="preserve">عملاء كاش </v>
          </cell>
          <cell r="D1987" t="str">
            <v>Naden Amgad</v>
          </cell>
        </row>
        <row r="1988">
          <cell r="A1988" t="str">
            <v>بيتزا المدملك, بيتزا المدملك, شيراتون</v>
          </cell>
          <cell r="B1988" t="str">
            <v>Horeca Smart</v>
          </cell>
          <cell r="C1988" t="str">
            <v xml:space="preserve">عملاء كاش </v>
          </cell>
          <cell r="D1988" t="str">
            <v>Naden Amgad</v>
          </cell>
        </row>
        <row r="1989">
          <cell r="A1989" t="str">
            <v>بيتزا المعلم</v>
          </cell>
          <cell r="B1989" t="str">
            <v>Horeca Smart</v>
          </cell>
          <cell r="C1989" t="str">
            <v xml:space="preserve">عملاء كاش </v>
          </cell>
          <cell r="D1989" t="str">
            <v>Naden Amgad</v>
          </cell>
        </row>
        <row r="1990">
          <cell r="A1990" t="str">
            <v>بيتزا الملك</v>
          </cell>
          <cell r="B1990" t="str">
            <v>Horeca Smart</v>
          </cell>
          <cell r="C1990" t="str">
            <v xml:space="preserve">عملاء كاش </v>
          </cell>
          <cell r="D1990" t="str">
            <v>Donia Khaled</v>
          </cell>
        </row>
        <row r="1991">
          <cell r="A1991" t="str">
            <v>بيتزا المهندسين, بيتزا المهندسين_الهرم</v>
          </cell>
          <cell r="C1991" t="str">
            <v xml:space="preserve">عملاء كاش </v>
          </cell>
          <cell r="D1991" t="str">
            <v>Reham Maher</v>
          </cell>
        </row>
        <row r="1992">
          <cell r="A1992" t="str">
            <v>بيتزا النجوم</v>
          </cell>
          <cell r="B1992" t="str">
            <v>Horeca Smart</v>
          </cell>
          <cell r="C1992" t="str">
            <v xml:space="preserve">عملاء كاش </v>
          </cell>
          <cell r="D1992" t="str">
            <v>Shorouk khaled</v>
          </cell>
        </row>
        <row r="1993">
          <cell r="A1993" t="str">
            <v>بيتزا اليكس وان</v>
          </cell>
          <cell r="B1993" t="str">
            <v>Horeca Smart</v>
          </cell>
          <cell r="C1993" t="str">
            <v xml:space="preserve">عملاء كاش </v>
          </cell>
          <cell r="D1993" t="str">
            <v>Shorouk khaled</v>
          </cell>
        </row>
        <row r="1994">
          <cell r="A1994" t="str">
            <v>بيتزا انديامو</v>
          </cell>
          <cell r="B1994" t="str">
            <v>Horeca Smart</v>
          </cell>
          <cell r="C1994" t="str">
            <v xml:space="preserve">عملاء كاش </v>
          </cell>
          <cell r="D1994" t="str">
            <v>Shorouk khaled</v>
          </cell>
        </row>
        <row r="1995">
          <cell r="A1995" t="str">
            <v>بيتزا بسمله</v>
          </cell>
          <cell r="B1995" t="str">
            <v>Horeca Smart</v>
          </cell>
          <cell r="C1995" t="str">
            <v xml:space="preserve">عملاء كاش </v>
          </cell>
          <cell r="D1995" t="str">
            <v>Lames Magdy</v>
          </cell>
        </row>
        <row r="1996">
          <cell r="A1996" t="str">
            <v>بيتزا بلدينا</v>
          </cell>
          <cell r="B1996" t="str">
            <v>Horeca Smart</v>
          </cell>
          <cell r="C1996" t="str">
            <v xml:space="preserve">عملاء كاش </v>
          </cell>
          <cell r="D1996" t="str">
            <v>Lames Magdy</v>
          </cell>
        </row>
        <row r="1997">
          <cell r="A1997" t="str">
            <v>بيتزا حمزه - النزهة الجديدة</v>
          </cell>
          <cell r="B1997" t="str">
            <v>Horeca Smart</v>
          </cell>
          <cell r="C1997" t="str">
            <v xml:space="preserve">عملاء كاش </v>
          </cell>
          <cell r="D1997" t="str">
            <v>Shorouk khaled</v>
          </cell>
        </row>
        <row r="1998">
          <cell r="A1998" t="str">
            <v>بيتزا حورس 2</v>
          </cell>
          <cell r="B1998" t="str">
            <v>Horeca Smart</v>
          </cell>
          <cell r="C1998" t="str">
            <v xml:space="preserve">عملاء كاش </v>
          </cell>
          <cell r="D1998" t="str">
            <v>Lames Magdy</v>
          </cell>
        </row>
        <row r="1999">
          <cell r="A1999" t="str">
            <v>بيتزا ضاضا</v>
          </cell>
          <cell r="B1999" t="str">
            <v>Horeca Smart</v>
          </cell>
          <cell r="C1999" t="str">
            <v xml:space="preserve">عملاء كاش </v>
          </cell>
          <cell r="D1999" t="str">
            <v>Naden Amgad</v>
          </cell>
        </row>
        <row r="2000">
          <cell r="A2000" t="str">
            <v>بيتزا فيرست</v>
          </cell>
          <cell r="B2000" t="str">
            <v>Horeca Smart</v>
          </cell>
          <cell r="C2000" t="str">
            <v xml:space="preserve">عملاء كاش </v>
          </cell>
          <cell r="D2000" t="str">
            <v>Shorouk khaled</v>
          </cell>
        </row>
        <row r="2001">
          <cell r="A2001" t="str">
            <v>بيتزا كومبو</v>
          </cell>
          <cell r="B2001" t="str">
            <v>Horeca Smart</v>
          </cell>
          <cell r="C2001" t="str">
            <v xml:space="preserve">عملاء كاش </v>
          </cell>
          <cell r="D2001" t="str">
            <v>Shorouk khaled</v>
          </cell>
        </row>
        <row r="2002">
          <cell r="A2002" t="str">
            <v>بيتزا ميلانو</v>
          </cell>
          <cell r="B2002" t="str">
            <v>Horeca Smart</v>
          </cell>
          <cell r="C2002" t="str">
            <v xml:space="preserve">عملاء كاش </v>
          </cell>
          <cell r="D2002" t="str">
            <v>Shorouk khaled</v>
          </cell>
        </row>
        <row r="2003">
          <cell r="A2003" t="str">
            <v>بيتزا ميلانو, بيتزا ميلانو, التجمع</v>
          </cell>
          <cell r="B2003" t="str">
            <v>Horeca Smart</v>
          </cell>
          <cell r="C2003" t="str">
            <v xml:space="preserve">عملاء كاش </v>
          </cell>
          <cell r="D2003" t="str">
            <v>Shorouk khaled</v>
          </cell>
        </row>
        <row r="2004">
          <cell r="A2004" t="str">
            <v>بيتزا ميلانو, بيتزا ميلانو, الدقى</v>
          </cell>
          <cell r="B2004" t="str">
            <v>Horeca Smart</v>
          </cell>
          <cell r="C2004" t="str">
            <v xml:space="preserve">عملاء كاش </v>
          </cell>
          <cell r="D2004" t="str">
            <v>Naden Amgad</v>
          </cell>
        </row>
        <row r="2005">
          <cell r="A2005" t="str">
            <v>بيتزا هم</v>
          </cell>
          <cell r="B2005" t="str">
            <v>Horeca Smart</v>
          </cell>
          <cell r="C2005" t="str">
            <v xml:space="preserve">عملاء كاش </v>
          </cell>
          <cell r="D2005" t="str">
            <v>Shorouk khaled</v>
          </cell>
        </row>
        <row r="2006">
          <cell r="A2006" t="str">
            <v>بيج بيتزا</v>
          </cell>
          <cell r="B2006" t="str">
            <v>Horeca Smart</v>
          </cell>
          <cell r="C2006" t="str">
            <v xml:space="preserve">عملاء كاش </v>
          </cell>
          <cell r="D2006" t="str">
            <v>Lames Magdy</v>
          </cell>
        </row>
        <row r="2007">
          <cell r="A2007" t="str">
            <v>بيدا بيتزا</v>
          </cell>
          <cell r="B2007" t="str">
            <v>Horeca Smart</v>
          </cell>
          <cell r="C2007" t="str">
            <v xml:space="preserve">عملاء كاش </v>
          </cell>
          <cell r="D2007" t="str">
            <v>Naden Amgad</v>
          </cell>
        </row>
        <row r="2008">
          <cell r="A2008" t="str">
            <v>بيست كريب</v>
          </cell>
          <cell r="B2008" t="str">
            <v>Horeca Smart</v>
          </cell>
          <cell r="C2008" t="str">
            <v xml:space="preserve">عملاء كاش </v>
          </cell>
          <cell r="D2008" t="str">
            <v>Shorouk khaled</v>
          </cell>
        </row>
        <row r="2009">
          <cell r="A2009" t="str">
            <v>بيست واي</v>
          </cell>
          <cell r="B2009" t="str">
            <v>Horeca Smart</v>
          </cell>
          <cell r="C2009" t="str">
            <v>عملاء اجل</v>
          </cell>
          <cell r="D2009" t="str">
            <v>Reham Maher</v>
          </cell>
        </row>
        <row r="2010">
          <cell r="A2010" t="str">
            <v>بيك اند كيك</v>
          </cell>
          <cell r="B2010" t="str">
            <v>Horeca Smart</v>
          </cell>
          <cell r="C2010" t="str">
            <v xml:space="preserve">عملاء كاش </v>
          </cell>
          <cell r="D2010" t="str">
            <v>Shorouk khaled</v>
          </cell>
        </row>
        <row r="2011">
          <cell r="A2011" t="str">
            <v>بيكرى سفيان</v>
          </cell>
          <cell r="B2011" t="str">
            <v>Horeca Smart</v>
          </cell>
          <cell r="C2011" t="str">
            <v xml:space="preserve">عملاء كاش </v>
          </cell>
          <cell r="D2011" t="str">
            <v>Lames Magdy</v>
          </cell>
        </row>
        <row r="2012">
          <cell r="A2012" t="str">
            <v>بيل ايجيبت</v>
          </cell>
          <cell r="B2012" t="str">
            <v>MAS</v>
          </cell>
          <cell r="C2012" t="str">
            <v>موردين كاش</v>
          </cell>
          <cell r="D2012" t="str">
            <v>Amgad Ahmed</v>
          </cell>
        </row>
        <row r="2013">
          <cell r="A2013" t="str">
            <v>تاتش فود</v>
          </cell>
          <cell r="B2013" t="str">
            <v>Horeca Smart</v>
          </cell>
          <cell r="C2013" t="str">
            <v xml:space="preserve">عملاء كاش </v>
          </cell>
          <cell r="D2013" t="str">
            <v>Shorouk khaled</v>
          </cell>
        </row>
        <row r="2014">
          <cell r="A2014" t="str">
            <v>تاج الملوك للصناعات الغذائية</v>
          </cell>
          <cell r="B2014" t="str">
            <v>MAS</v>
          </cell>
          <cell r="C2014" t="str">
            <v>موردين كاش</v>
          </cell>
          <cell r="D2014" t="str">
            <v>Amgad Ahmed</v>
          </cell>
        </row>
        <row r="2015">
          <cell r="A2015" t="str">
            <v>تاجر السعادة</v>
          </cell>
          <cell r="B2015" t="str">
            <v>Horeca Smart</v>
          </cell>
          <cell r="C2015" t="str">
            <v xml:space="preserve">عملاء كاش </v>
          </cell>
          <cell r="D2015" t="str">
            <v>Lames Magdy</v>
          </cell>
        </row>
        <row r="2016">
          <cell r="A2016" t="str">
            <v>تربيل سى</v>
          </cell>
          <cell r="B2016" t="str">
            <v>Horeca Smart</v>
          </cell>
          <cell r="C2016" t="str">
            <v xml:space="preserve">عملاء كاش </v>
          </cell>
          <cell r="D2016" t="str">
            <v>Shorouk khaled</v>
          </cell>
        </row>
        <row r="2017">
          <cell r="A2017" t="str">
            <v>تريب سوشي</v>
          </cell>
          <cell r="B2017" t="str">
            <v>Horeca Smart</v>
          </cell>
          <cell r="C2017" t="str">
            <v xml:space="preserve">عملاء كاش </v>
          </cell>
          <cell r="D2017" t="str">
            <v>Naden Amgad</v>
          </cell>
        </row>
        <row r="2018">
          <cell r="A2018" t="str">
            <v>تريد مارك للتوريدات الغذائية</v>
          </cell>
          <cell r="B2018" t="str">
            <v>Horeca Smart</v>
          </cell>
          <cell r="C2018" t="str">
            <v xml:space="preserve">عملاء كاش </v>
          </cell>
          <cell r="D2018" t="str">
            <v>Lames Magdy</v>
          </cell>
        </row>
        <row r="2019">
          <cell r="A2019" t="str">
            <v>تشاركو تشيكن</v>
          </cell>
          <cell r="B2019" t="str">
            <v>Horeca Smart</v>
          </cell>
          <cell r="C2019" t="str">
            <v xml:space="preserve">عملاء كاش </v>
          </cell>
          <cell r="D2019" t="str">
            <v>Shorouk khaled</v>
          </cell>
        </row>
        <row r="2020">
          <cell r="A2020" t="str">
            <v>تشيكن تربو</v>
          </cell>
          <cell r="B2020" t="str">
            <v>Horeca Smart</v>
          </cell>
          <cell r="C2020" t="str">
            <v xml:space="preserve">عملاء كاش </v>
          </cell>
          <cell r="D2020" t="str">
            <v>Donia Khaled</v>
          </cell>
        </row>
        <row r="2021">
          <cell r="A2021" t="str">
            <v>تشيكن سداد</v>
          </cell>
          <cell r="B2021" t="str">
            <v>Horeca Smart</v>
          </cell>
          <cell r="C2021" t="str">
            <v xml:space="preserve">عملاء كاش </v>
          </cell>
          <cell r="D2021" t="str">
            <v>Shorouk khaled</v>
          </cell>
        </row>
        <row r="2022">
          <cell r="A2022" t="str">
            <v>تشيكن سناك اند تراك</v>
          </cell>
          <cell r="B2022" t="str">
            <v>Horeca Smart</v>
          </cell>
          <cell r="C2022" t="str">
            <v xml:space="preserve">عملاء كاش </v>
          </cell>
          <cell r="D2022" t="str">
            <v>Naden Amgad</v>
          </cell>
        </row>
        <row r="2023">
          <cell r="A2023" t="str">
            <v>تشيكن فولكانو</v>
          </cell>
          <cell r="B2023" t="str">
            <v>Horeca Smart</v>
          </cell>
          <cell r="C2023" t="str">
            <v xml:space="preserve">عملاء كاش </v>
          </cell>
          <cell r="D2023" t="str">
            <v>Shorouk khaled</v>
          </cell>
        </row>
        <row r="2024">
          <cell r="A2024" t="str">
            <v>تشيكن وان السورى - التجمع</v>
          </cell>
          <cell r="B2024" t="str">
            <v>Horeca Smart</v>
          </cell>
          <cell r="C2024" t="str">
            <v xml:space="preserve">عملاء كاش </v>
          </cell>
          <cell r="D2024" t="str">
            <v>Mona Mohamed</v>
          </cell>
        </row>
        <row r="2025">
          <cell r="A2025" t="str">
            <v>تطوير الفرص المتميزة</v>
          </cell>
          <cell r="B2025" t="str">
            <v>Horeca Smart</v>
          </cell>
          <cell r="C2025" t="str">
            <v xml:space="preserve">عملاء كاش </v>
          </cell>
          <cell r="D2025" t="str">
            <v>Shorouk khaled</v>
          </cell>
        </row>
        <row r="2026">
          <cell r="A2026" t="str">
            <v>تغميسه</v>
          </cell>
          <cell r="B2026" t="str">
            <v>Horeca Smart</v>
          </cell>
          <cell r="C2026" t="str">
            <v xml:space="preserve">عملاء كاش </v>
          </cell>
          <cell r="D2026" t="str">
            <v>Shorouk khaled</v>
          </cell>
        </row>
        <row r="2027">
          <cell r="A2027" t="str">
            <v>تكا خان</v>
          </cell>
          <cell r="B2027" t="str">
            <v>Horeca Smart</v>
          </cell>
          <cell r="C2027" t="str">
            <v xml:space="preserve">عملاء كاش </v>
          </cell>
          <cell r="D2027" t="str">
            <v>Lames Magdy</v>
          </cell>
        </row>
        <row r="2028">
          <cell r="A2028" t="str">
            <v>تكيلا</v>
          </cell>
          <cell r="B2028" t="str">
            <v>Horeca Smart</v>
          </cell>
          <cell r="C2028" t="str">
            <v xml:space="preserve">عملاء كاش </v>
          </cell>
          <cell r="D2028" t="str">
            <v>Shorouk khaled</v>
          </cell>
        </row>
        <row r="2029">
          <cell r="A2029" t="str">
            <v>توستارز للاستيراد والتصدير</v>
          </cell>
          <cell r="B2029" t="str">
            <v>MAS</v>
          </cell>
          <cell r="C2029" t="str">
            <v>موردين كاش</v>
          </cell>
          <cell r="D2029" t="str">
            <v>Amgad Ahmed</v>
          </cell>
        </row>
        <row r="2030">
          <cell r="A2030" t="str">
            <v>توفيت تو ايت</v>
          </cell>
          <cell r="B2030" t="str">
            <v>Horeca Smart</v>
          </cell>
          <cell r="C2030" t="str">
            <v xml:space="preserve">عملاء كاش </v>
          </cell>
          <cell r="D2030" t="str">
            <v>Shorouk khaled</v>
          </cell>
        </row>
        <row r="2031">
          <cell r="A2031" t="str">
            <v>توليدو TTS</v>
          </cell>
          <cell r="B2031" t="str">
            <v>Horeca Smart</v>
          </cell>
          <cell r="C2031" t="str">
            <v>موردين كاش</v>
          </cell>
          <cell r="D2031" t="str">
            <v>Amgad Ahmed</v>
          </cell>
        </row>
        <row r="2032">
          <cell r="A2032" t="str">
            <v>توم اند بصل</v>
          </cell>
          <cell r="B2032" t="str">
            <v>Horeca Smart</v>
          </cell>
          <cell r="C2032" t="str">
            <v xml:space="preserve">عملاء كاش </v>
          </cell>
          <cell r="D2032" t="str">
            <v>Lames Magdy</v>
          </cell>
        </row>
        <row r="2033">
          <cell r="A2033" t="str">
            <v>توم يام كوزين</v>
          </cell>
          <cell r="B2033" t="str">
            <v>Horeca Smart</v>
          </cell>
          <cell r="C2033" t="str">
            <v xml:space="preserve">عملاء كاش </v>
          </cell>
          <cell r="D2033" t="str">
            <v>Shorouk khaled</v>
          </cell>
        </row>
        <row r="2034">
          <cell r="A2034" t="str">
            <v>توماس - البلجيكية للحلويات</v>
          </cell>
          <cell r="B2034" t="str">
            <v>MAS</v>
          </cell>
          <cell r="C2034" t="str">
            <v>عملاء اجل</v>
          </cell>
          <cell r="D2034" t="str">
            <v>Haddil Haron</v>
          </cell>
        </row>
        <row r="2035">
          <cell r="A2035" t="str">
            <v>تياكي</v>
          </cell>
          <cell r="B2035" t="str">
            <v>Horeca Smart</v>
          </cell>
          <cell r="C2035" t="str">
            <v xml:space="preserve">عملاء كاش </v>
          </cell>
          <cell r="D2035" t="str">
            <v>Lames Magdy</v>
          </cell>
        </row>
        <row r="2036">
          <cell r="A2036" t="str">
            <v>تيستي برجر</v>
          </cell>
          <cell r="B2036" t="str">
            <v>Horeca Smart</v>
          </cell>
          <cell r="C2036" t="str">
            <v xml:space="preserve">عملاء كاش </v>
          </cell>
          <cell r="D2036" t="str">
            <v>Lames Magdy</v>
          </cell>
        </row>
        <row r="2037">
          <cell r="A2037" t="str">
            <v>تيستي بيستي</v>
          </cell>
          <cell r="B2037" t="str">
            <v>Horeca Smart</v>
          </cell>
          <cell r="C2037" t="str">
            <v xml:space="preserve">عملاء كاش </v>
          </cell>
          <cell r="D2037" t="str">
            <v>Naden Amgad</v>
          </cell>
        </row>
        <row r="2038">
          <cell r="A2038" t="str">
            <v>تيك أواي  المؤمن</v>
          </cell>
          <cell r="B2038" t="str">
            <v>Horeca Smart</v>
          </cell>
          <cell r="C2038" t="str">
            <v xml:space="preserve">عملاء كاش </v>
          </cell>
          <cell r="D2038" t="str">
            <v>Naden Amgad</v>
          </cell>
        </row>
        <row r="2039">
          <cell r="A2039" t="str">
            <v>تيك اند بيك</v>
          </cell>
          <cell r="B2039" t="str">
            <v>Horeca Smart</v>
          </cell>
          <cell r="C2039" t="str">
            <v xml:space="preserve">عملاء كاش </v>
          </cell>
          <cell r="D2039" t="str">
            <v>Shorouk khaled</v>
          </cell>
        </row>
        <row r="2040">
          <cell r="A2040" t="str">
            <v>تيك واي طازه</v>
          </cell>
          <cell r="B2040" t="str">
            <v>Horeca Smart</v>
          </cell>
          <cell r="C2040" t="str">
            <v xml:space="preserve">عملاء كاش </v>
          </cell>
          <cell r="D2040" t="str">
            <v>Naden Amgad</v>
          </cell>
        </row>
        <row r="2041">
          <cell r="A2041" t="str">
            <v>ثين جوس</v>
          </cell>
          <cell r="B2041" t="str">
            <v>Horeca Smart</v>
          </cell>
          <cell r="C2041" t="str">
            <v xml:space="preserve">عملاء كاش </v>
          </cell>
          <cell r="D2041" t="str">
            <v>Shorouk khaled</v>
          </cell>
        </row>
        <row r="2042">
          <cell r="A2042" t="str">
            <v>جافا ايكو</v>
          </cell>
          <cell r="B2042" t="str">
            <v>Horeca Smart</v>
          </cell>
          <cell r="C2042" t="str">
            <v xml:space="preserve">عملاء كاش </v>
          </cell>
          <cell r="D2042" t="str">
            <v>Shorouk khaled</v>
          </cell>
        </row>
        <row r="2043">
          <cell r="A2043" t="str">
            <v>جامعة أكتوبر للعلوم الحديثة والآداب</v>
          </cell>
          <cell r="B2043" t="str">
            <v>Horeca Smart</v>
          </cell>
          <cell r="C2043" t="str">
            <v xml:space="preserve">عملاء كاش </v>
          </cell>
          <cell r="D2043" t="str">
            <v>Donia Khaled</v>
          </cell>
        </row>
        <row r="2044">
          <cell r="A2044" t="str">
            <v>جامعة سيناء</v>
          </cell>
          <cell r="B2044" t="str">
            <v>Horeca Smart</v>
          </cell>
          <cell r="C2044" t="str">
            <v xml:space="preserve">عملاء كاش </v>
          </cell>
          <cell r="D2044" t="str">
            <v>Shorouk khaled</v>
          </cell>
        </row>
        <row r="2045">
          <cell r="A2045" t="str">
            <v>جاوا سوشي</v>
          </cell>
          <cell r="B2045" t="str">
            <v>Horeca Smart</v>
          </cell>
          <cell r="C2045" t="str">
            <v xml:space="preserve">عملاء كاش </v>
          </cell>
          <cell r="D2045" t="str">
            <v>Shorouk khaled</v>
          </cell>
        </row>
        <row r="2046">
          <cell r="A2046" t="str">
            <v>جرنيل سوشي</v>
          </cell>
          <cell r="B2046" t="str">
            <v>Horeca Smart</v>
          </cell>
          <cell r="C2046" t="str">
            <v xml:space="preserve">عملاء كاش </v>
          </cell>
          <cell r="D2046" t="str">
            <v>Mona Mohamed</v>
          </cell>
        </row>
        <row r="2047">
          <cell r="A2047" t="str">
            <v>جروسرى</v>
          </cell>
          <cell r="B2047" t="str">
            <v>Horeca Smart</v>
          </cell>
          <cell r="C2047" t="str">
            <v xml:space="preserve">عملاء كاش </v>
          </cell>
          <cell r="D2047" t="str">
            <v>Reham Maher</v>
          </cell>
        </row>
        <row r="2048">
          <cell r="A2048" t="str">
            <v>جريدة الاهرام</v>
          </cell>
          <cell r="B2048" t="str">
            <v>Horeca Smart</v>
          </cell>
          <cell r="C2048" t="str">
            <v xml:space="preserve">عملاء كاش </v>
          </cell>
          <cell r="D2048" t="str">
            <v>Reham Maher</v>
          </cell>
        </row>
        <row r="2049">
          <cell r="A2049" t="str">
            <v>جريدة الجمهورية</v>
          </cell>
          <cell r="B2049" t="str">
            <v>Horeca Smart</v>
          </cell>
          <cell r="C2049" t="str">
            <v xml:space="preserve">عملاء كاش </v>
          </cell>
          <cell r="D2049" t="str">
            <v>Reham Maher</v>
          </cell>
        </row>
        <row r="2050">
          <cell r="A2050" t="str">
            <v>جريمة أكل</v>
          </cell>
          <cell r="B2050" t="str">
            <v>Horeca Smart</v>
          </cell>
          <cell r="C2050" t="str">
            <v xml:space="preserve">عملاء كاش </v>
          </cell>
          <cell r="D2050" t="str">
            <v>Reham Maher</v>
          </cell>
        </row>
        <row r="2051">
          <cell r="A2051" t="str">
            <v>جزار كبابجي</v>
          </cell>
          <cell r="B2051" t="str">
            <v>Horeca Smart</v>
          </cell>
          <cell r="C2051" t="str">
            <v xml:space="preserve">عملاء كاش </v>
          </cell>
          <cell r="D2051" t="str">
            <v>Naden Amgad</v>
          </cell>
        </row>
        <row r="2052">
          <cell r="A2052" t="str">
            <v>جزارة ابو احمد A1</v>
          </cell>
          <cell r="B2052" t="str">
            <v>Horeca Smart</v>
          </cell>
          <cell r="C2052" t="str">
            <v xml:space="preserve">عملاء كاش </v>
          </cell>
          <cell r="D2052" t="str">
            <v>Reham Maher</v>
          </cell>
        </row>
        <row r="2053">
          <cell r="A2053" t="str">
            <v>جلوبال للتصنيع والتنمية ( بوفانا )</v>
          </cell>
          <cell r="B2053" t="str">
            <v>Horeca Smart</v>
          </cell>
          <cell r="C2053" t="str">
            <v>موردين كاش</v>
          </cell>
          <cell r="D2053" t="str">
            <v>Amgad Ahmed</v>
          </cell>
        </row>
        <row r="2054">
          <cell r="A2054" t="str">
            <v>جمال</v>
          </cell>
          <cell r="B2054" t="str">
            <v>Horeca Smart</v>
          </cell>
          <cell r="C2054" t="str">
            <v xml:space="preserve">عملاء كاش </v>
          </cell>
          <cell r="D2054" t="str">
            <v>Rasha Hassan</v>
          </cell>
        </row>
        <row r="2055">
          <cell r="A2055" t="str">
            <v>جمال السيد ( مورد )</v>
          </cell>
          <cell r="B2055" t="str">
            <v>MAS</v>
          </cell>
          <cell r="C2055" t="str">
            <v>موردين كاش</v>
          </cell>
          <cell r="D2055" t="str">
            <v>Amgad Ahmed</v>
          </cell>
        </row>
        <row r="2056">
          <cell r="A2056" t="str">
            <v>جمبري وبس</v>
          </cell>
          <cell r="B2056" t="str">
            <v>Horeca Smart</v>
          </cell>
          <cell r="C2056" t="str">
            <v xml:space="preserve">عملاء كاش </v>
          </cell>
          <cell r="D2056" t="str">
            <v>Donia Khaled</v>
          </cell>
        </row>
        <row r="2057">
          <cell r="A2057" t="str">
            <v>جمعيه الحلميه الجديده</v>
          </cell>
          <cell r="B2057" t="str">
            <v>Horeca Smart</v>
          </cell>
          <cell r="C2057" t="str">
            <v xml:space="preserve">عملاء كاش </v>
          </cell>
          <cell r="D2057" t="str">
            <v>Reham Maher</v>
          </cell>
        </row>
        <row r="2058">
          <cell r="A2058" t="str">
            <v>جنا الشام</v>
          </cell>
          <cell r="B2058" t="str">
            <v>Horeca Smart</v>
          </cell>
          <cell r="C2058" t="str">
            <v xml:space="preserve">عملاء كاش </v>
          </cell>
          <cell r="D2058" t="str">
            <v>Reham Maher</v>
          </cell>
        </row>
        <row r="2059">
          <cell r="A2059" t="str">
            <v>جورماند امبرساند</v>
          </cell>
          <cell r="B2059" t="str">
            <v>Horeca Smart</v>
          </cell>
          <cell r="C2059" t="str">
            <v xml:space="preserve">عملاء كاش </v>
          </cell>
          <cell r="D2059" t="str">
            <v>Reham Maher</v>
          </cell>
        </row>
        <row r="2060">
          <cell r="A2060" t="str">
            <v>جوك</v>
          </cell>
          <cell r="B2060" t="str">
            <v>Horeca Smart</v>
          </cell>
          <cell r="C2060" t="str">
            <v xml:space="preserve">عملاء كاش </v>
          </cell>
          <cell r="D2060" t="str">
            <v>Reham Maher</v>
          </cell>
        </row>
        <row r="2061">
          <cell r="A2061" t="str">
            <v>جوما هاب للاغذيه والمشروبات</v>
          </cell>
          <cell r="B2061" t="str">
            <v>Horeca Smart</v>
          </cell>
          <cell r="C2061" t="str">
            <v xml:space="preserve">عملاء كاش </v>
          </cell>
          <cell r="D2061" t="str">
            <v>Reham Maher</v>
          </cell>
        </row>
        <row r="2062">
          <cell r="A2062" t="str">
            <v>جي جي - المرغني</v>
          </cell>
          <cell r="B2062" t="str">
            <v>Horeca Smart</v>
          </cell>
          <cell r="C2062" t="str">
            <v xml:space="preserve">عملاء كاش </v>
          </cell>
          <cell r="D2062" t="str">
            <v>Reham Maher</v>
          </cell>
        </row>
        <row r="2063">
          <cell r="A2063" t="str">
            <v>جيب معاك</v>
          </cell>
          <cell r="B2063" t="str">
            <v>Horeca Smart</v>
          </cell>
          <cell r="C2063" t="str">
            <v xml:space="preserve">عملاء كاش </v>
          </cell>
          <cell r="D2063" t="str">
            <v>Naden Amgad</v>
          </cell>
        </row>
        <row r="2064">
          <cell r="A2064" t="str">
            <v>جيت بوئتك</v>
          </cell>
          <cell r="B2064" t="str">
            <v>Horeca Smart</v>
          </cell>
          <cell r="C2064" t="str">
            <v xml:space="preserve">عملاء كاش </v>
          </cell>
          <cell r="D2064" t="str">
            <v>Donia Khaled</v>
          </cell>
        </row>
        <row r="2065">
          <cell r="A2065" t="str">
            <v>جيت للتجارة والتوزيع JET- الاقاليم, جيت للتجارة والتوزيع JET- الاقاليم, الاسكندرية</v>
          </cell>
          <cell r="B2065" t="str">
            <v>MAS</v>
          </cell>
          <cell r="C2065" t="str">
            <v>عميل - مورد</v>
          </cell>
          <cell r="D2065" t="str">
            <v>Amgad Ahmed</v>
          </cell>
        </row>
        <row r="2066">
          <cell r="A2066" t="str">
            <v>جيت للتجارة والتوزيع JET- الاقاليم, جيت للتجارة والتوزيع JET- الاقاليم, المنصورة</v>
          </cell>
          <cell r="B2066" t="str">
            <v>MAS</v>
          </cell>
          <cell r="C2066" t="str">
            <v>عميل - مورد</v>
          </cell>
          <cell r="D2066" t="str">
            <v>Amgad Ahmed</v>
          </cell>
        </row>
        <row r="2067">
          <cell r="A2067" t="str">
            <v>جيز للأغذية والمشروبات</v>
          </cell>
          <cell r="B2067" t="str">
            <v>Horeca Smart</v>
          </cell>
          <cell r="C2067" t="str">
            <v xml:space="preserve">عملاء كاش </v>
          </cell>
          <cell r="D2067" t="str">
            <v>Donia Khaled</v>
          </cell>
        </row>
        <row r="2068">
          <cell r="A2068" t="str">
            <v>جيمس</v>
          </cell>
          <cell r="B2068" t="str">
            <v>Horeca Smart</v>
          </cell>
          <cell r="C2068" t="str">
            <v xml:space="preserve">عملاء كاش </v>
          </cell>
          <cell r="D2068" t="str">
            <v>Donia Khaled</v>
          </cell>
        </row>
        <row r="2069">
          <cell r="A2069" t="str">
            <v>جيميرا</v>
          </cell>
          <cell r="B2069" t="str">
            <v>Horeca Smart</v>
          </cell>
          <cell r="C2069" t="str">
            <v xml:space="preserve">عملاء كاش </v>
          </cell>
          <cell r="D2069" t="str">
            <v>Mona Mohamed</v>
          </cell>
        </row>
        <row r="2070">
          <cell r="A2070" t="str">
            <v>حاتى الصحابة - مدينة نصر</v>
          </cell>
          <cell r="B2070" t="str">
            <v>Horeca Smart</v>
          </cell>
          <cell r="C2070" t="str">
            <v xml:space="preserve">عملاء كاش </v>
          </cell>
          <cell r="D2070" t="str">
            <v>Lames Magdy</v>
          </cell>
        </row>
        <row r="2071">
          <cell r="A2071" t="str">
            <v>حاتي الدكش</v>
          </cell>
          <cell r="B2071" t="str">
            <v>Horeca Smart</v>
          </cell>
          <cell r="C2071" t="str">
            <v xml:space="preserve">عملاء كاش </v>
          </cell>
          <cell r="D2071" t="str">
            <v>Donia Khaled</v>
          </cell>
        </row>
        <row r="2072">
          <cell r="A2072" t="str">
            <v>حاتي المأمون</v>
          </cell>
          <cell r="B2072" t="str">
            <v>Horeca Smart</v>
          </cell>
          <cell r="C2072" t="str">
            <v xml:space="preserve">عملاء كاش </v>
          </cell>
          <cell r="D2072" t="str">
            <v>Lames Magdy</v>
          </cell>
        </row>
        <row r="2073">
          <cell r="A2073" t="str">
            <v>حاتي الماحي</v>
          </cell>
          <cell r="B2073" t="str">
            <v>Horeca Smart</v>
          </cell>
          <cell r="C2073" t="str">
            <v xml:space="preserve">عملاء كاش </v>
          </cell>
          <cell r="D2073" t="str">
            <v>Donia Khaled</v>
          </cell>
        </row>
        <row r="2074">
          <cell r="A2074" t="str">
            <v>حبوبة</v>
          </cell>
          <cell r="C2074" t="str">
            <v xml:space="preserve">موردين اجل </v>
          </cell>
          <cell r="D2074" t="str">
            <v>Amgad Ahmed</v>
          </cell>
        </row>
        <row r="2075">
          <cell r="A2075" t="str">
            <v>حدوتة</v>
          </cell>
          <cell r="B2075" t="str">
            <v>Horeca Smart</v>
          </cell>
          <cell r="C2075" t="str">
            <v xml:space="preserve">عملاء كاش </v>
          </cell>
          <cell r="D2075" t="str">
            <v>Donia Khaled</v>
          </cell>
        </row>
        <row r="2076">
          <cell r="A2076" t="str">
            <v>حسن سند للتوريدات</v>
          </cell>
          <cell r="B2076" t="str">
            <v>MAS</v>
          </cell>
          <cell r="C2076" t="str">
            <v xml:space="preserve">عملاء كاش </v>
          </cell>
          <cell r="D2076" t="str">
            <v>Haddil Haron</v>
          </cell>
        </row>
        <row r="2077">
          <cell r="A2077" t="str">
            <v>حسني الكبابجي</v>
          </cell>
          <cell r="B2077" t="str">
            <v>Horeca Smart</v>
          </cell>
          <cell r="C2077" t="str">
            <v xml:space="preserve">عملاء كاش </v>
          </cell>
          <cell r="D2077" t="str">
            <v>Reham Maher</v>
          </cell>
        </row>
        <row r="2078">
          <cell r="A2078" t="str">
            <v>حسني الكبابجي, حسني الكبابجي, فيصل</v>
          </cell>
          <cell r="B2078" t="str">
            <v>Horeca Smart</v>
          </cell>
          <cell r="C2078" t="str">
            <v xml:space="preserve">عملاء كاش </v>
          </cell>
          <cell r="D2078" t="str">
            <v>Naden Amgad</v>
          </cell>
        </row>
        <row r="2079">
          <cell r="A2079" t="str">
            <v>حسني الكبابجي, حسني الكبابجي, مدينة نصر</v>
          </cell>
          <cell r="B2079" t="str">
            <v>Horeca Smart</v>
          </cell>
          <cell r="C2079" t="str">
            <v xml:space="preserve">عملاء كاش </v>
          </cell>
          <cell r="D2079" t="str">
            <v>Reham Maher</v>
          </cell>
        </row>
        <row r="2080">
          <cell r="A2080" t="str">
            <v>حضر موت</v>
          </cell>
          <cell r="B2080" t="str">
            <v>Horeca Smart</v>
          </cell>
          <cell r="C2080" t="str">
            <v xml:space="preserve">عملاء كاش </v>
          </cell>
          <cell r="D2080" t="str">
            <v>Lames Magdy</v>
          </cell>
        </row>
        <row r="2081">
          <cell r="A2081" t="str">
            <v>حضر موت -الحريه</v>
          </cell>
          <cell r="B2081" t="str">
            <v>Horeca Smart</v>
          </cell>
          <cell r="C2081" t="str">
            <v xml:space="preserve">عملاء كاش </v>
          </cell>
          <cell r="D2081" t="str">
            <v>Naden Amgad</v>
          </cell>
        </row>
        <row r="2082">
          <cell r="A2082" t="str">
            <v>حضر موت حمزه</v>
          </cell>
          <cell r="B2082" t="str">
            <v>Horeca Smart</v>
          </cell>
          <cell r="C2082" t="str">
            <v xml:space="preserve">عملاء كاش </v>
          </cell>
          <cell r="D2082" t="str">
            <v>Donia Khaled</v>
          </cell>
        </row>
        <row r="2083">
          <cell r="A2083" t="str">
            <v>حضر موت, حضر موت, مدينة نصر</v>
          </cell>
          <cell r="B2083" t="str">
            <v>Horeca Smart</v>
          </cell>
          <cell r="C2083" t="str">
            <v xml:space="preserve">عملاء كاش </v>
          </cell>
          <cell r="D2083" t="str">
            <v>Lames Magdy</v>
          </cell>
        </row>
        <row r="2084">
          <cell r="A2084" t="str">
            <v>حضر موت, حضر موت, مصر الجديدة</v>
          </cell>
          <cell r="B2084" t="str">
            <v>Horeca Smart</v>
          </cell>
          <cell r="C2084" t="str">
            <v xml:space="preserve">عملاء كاش </v>
          </cell>
          <cell r="D2084" t="str">
            <v>Donia Khaled</v>
          </cell>
        </row>
        <row r="2085">
          <cell r="A2085" t="str">
            <v>حلقة السمك</v>
          </cell>
          <cell r="B2085" t="str">
            <v>Horeca Smart</v>
          </cell>
          <cell r="C2085" t="str">
            <v xml:space="preserve">عملاء كاش </v>
          </cell>
          <cell r="D2085" t="str">
            <v>Lames Magdy</v>
          </cell>
        </row>
        <row r="2086">
          <cell r="A2086" t="str">
            <v>حلو وحلواني</v>
          </cell>
          <cell r="B2086" t="str">
            <v>Horeca Smart</v>
          </cell>
          <cell r="C2086" t="str">
            <v xml:space="preserve">عملاء كاش </v>
          </cell>
          <cell r="D2086" t="str">
            <v>Lames Magdy</v>
          </cell>
        </row>
        <row r="2087">
          <cell r="A2087" t="str">
            <v>حلوانى فان فودز</v>
          </cell>
          <cell r="B2087" t="str">
            <v>Horeca Smart</v>
          </cell>
          <cell r="C2087" t="str">
            <v xml:space="preserve">عملاء كاش </v>
          </cell>
          <cell r="D2087" t="str">
            <v>Donia Khaled</v>
          </cell>
        </row>
        <row r="2088">
          <cell r="A2088" t="str">
            <v>حلواني  الدمشقي</v>
          </cell>
          <cell r="B2088" t="str">
            <v>Horeca Smart</v>
          </cell>
          <cell r="C2088" t="str">
            <v xml:space="preserve">عملاء كاش </v>
          </cell>
          <cell r="D2088" t="str">
            <v>Shorouk khaled</v>
          </cell>
        </row>
        <row r="2089">
          <cell r="A2089" t="str">
            <v>حلواني T_mas</v>
          </cell>
          <cell r="B2089" t="str">
            <v>Horeca Smart</v>
          </cell>
          <cell r="C2089" t="str">
            <v xml:space="preserve">عملاء كاش </v>
          </cell>
          <cell r="D2089" t="str">
            <v>Donia Khaled</v>
          </cell>
        </row>
        <row r="2090">
          <cell r="A2090" t="str">
            <v>حلواني ابجد</v>
          </cell>
          <cell r="B2090" t="str">
            <v>Horeca Smart</v>
          </cell>
          <cell r="C2090" t="str">
            <v xml:space="preserve">عملاء كاش </v>
          </cell>
          <cell r="D2090" t="str">
            <v>Naden Amgad</v>
          </cell>
        </row>
        <row r="2091">
          <cell r="A2091" t="str">
            <v>حلواني الباشا</v>
          </cell>
          <cell r="B2091" t="str">
            <v>Horeca Smart</v>
          </cell>
          <cell r="C2091" t="str">
            <v xml:space="preserve">عملاء كاش </v>
          </cell>
          <cell r="D2091" t="str">
            <v>Lames Magdy</v>
          </cell>
        </row>
        <row r="2092">
          <cell r="A2092" t="str">
            <v>حلواني الجيش</v>
          </cell>
          <cell r="B2092" t="str">
            <v>Horeca Smart</v>
          </cell>
          <cell r="C2092" t="str">
            <v xml:space="preserve">عملاء كاش </v>
          </cell>
          <cell r="D2092" t="str">
            <v>Mona Mohamed</v>
          </cell>
        </row>
        <row r="2093">
          <cell r="A2093" t="str">
            <v>حلواني الحلميه</v>
          </cell>
          <cell r="B2093" t="str">
            <v>Horeca Smart</v>
          </cell>
          <cell r="C2093" t="str">
            <v xml:space="preserve">عملاء كاش </v>
          </cell>
          <cell r="D2093" t="str">
            <v>Donia Khaled</v>
          </cell>
        </row>
        <row r="2094">
          <cell r="A2094" t="str">
            <v>حلواني الدمياطى, حلواني الدمياطى, اكتوبر</v>
          </cell>
          <cell r="B2094" t="str">
            <v>Horeca Smart</v>
          </cell>
          <cell r="C2094" t="str">
            <v xml:space="preserve">عملاء كاش </v>
          </cell>
          <cell r="D2094" t="str">
            <v>Naden Amgad</v>
          </cell>
        </row>
        <row r="2095">
          <cell r="A2095" t="str">
            <v>حلواني الدمياطى, حلواني الدمياطى, حلواني امير الدمياطي</v>
          </cell>
          <cell r="B2095" t="str">
            <v>Horeca Smart</v>
          </cell>
          <cell r="C2095" t="str">
            <v xml:space="preserve">عملاء كاش </v>
          </cell>
          <cell r="D2095" t="str">
            <v>Naden Amgad</v>
          </cell>
        </row>
        <row r="2096">
          <cell r="A2096" t="str">
            <v>حلواني السامر لاماندين</v>
          </cell>
          <cell r="B2096" t="str">
            <v>Horeca Smart</v>
          </cell>
          <cell r="C2096" t="str">
            <v xml:space="preserve">عملاء كاش </v>
          </cell>
          <cell r="D2096" t="str">
            <v>Naden Amgad</v>
          </cell>
        </row>
        <row r="2097">
          <cell r="A2097" t="str">
            <v>حلواني السرايا</v>
          </cell>
          <cell r="B2097" t="str">
            <v>Horeca Smart</v>
          </cell>
          <cell r="C2097" t="str">
            <v xml:space="preserve">عملاء كاش </v>
          </cell>
          <cell r="D2097" t="str">
            <v>Donia Khaled</v>
          </cell>
        </row>
        <row r="2098">
          <cell r="A2098" t="str">
            <v>حلواني الطيبين</v>
          </cell>
          <cell r="B2098" t="str">
            <v>Horeca Smart</v>
          </cell>
          <cell r="C2098" t="str">
            <v xml:space="preserve">عملاء كاش </v>
          </cell>
          <cell r="D2098" t="str">
            <v>Naden Amgad</v>
          </cell>
        </row>
        <row r="2099">
          <cell r="A2099" t="str">
            <v>حلواني العبد, حلواني العبد, ابو رواش</v>
          </cell>
          <cell r="B2099" t="str">
            <v>MAS</v>
          </cell>
          <cell r="D2099" t="str">
            <v>Haddil Haron</v>
          </cell>
        </row>
        <row r="2100">
          <cell r="A2100" t="str">
            <v>حلواني العبد, حلواني العبد, الشرابية</v>
          </cell>
          <cell r="B2100" t="str">
            <v>MAS</v>
          </cell>
          <cell r="D2100" t="str">
            <v>Haddil Haron</v>
          </cell>
        </row>
        <row r="2101">
          <cell r="A2101" t="str">
            <v>حلواني العروبة</v>
          </cell>
          <cell r="B2101" t="str">
            <v>Horeca Smart</v>
          </cell>
          <cell r="C2101" t="str">
            <v xml:space="preserve">عملاء كاش </v>
          </cell>
          <cell r="D2101" t="str">
            <v>Donia Khaled</v>
          </cell>
        </row>
        <row r="2102">
          <cell r="A2102" t="str">
            <v>حلواني المالكي</v>
          </cell>
          <cell r="B2102" t="str">
            <v>Horeca Smart</v>
          </cell>
          <cell r="C2102" t="str">
            <v xml:space="preserve">عملاء كاش </v>
          </cell>
          <cell r="D2102" t="str">
            <v>Reham Maher</v>
          </cell>
        </row>
        <row r="2103">
          <cell r="A2103" t="str">
            <v>حلواني بارذكان</v>
          </cell>
          <cell r="B2103" t="str">
            <v>Horeca Smart</v>
          </cell>
          <cell r="C2103" t="str">
            <v xml:space="preserve">عملاء كاش </v>
          </cell>
          <cell r="D2103" t="str">
            <v>Naden Amgad</v>
          </cell>
        </row>
        <row r="2104">
          <cell r="A2104" t="str">
            <v>حلواني بيروت</v>
          </cell>
          <cell r="B2104" t="str">
            <v>Horeca Smart</v>
          </cell>
          <cell r="C2104" t="str">
            <v xml:space="preserve">عملاء كاش </v>
          </cell>
          <cell r="D2104" t="str">
            <v>Naden Amgad</v>
          </cell>
        </row>
        <row r="2105">
          <cell r="A2105" t="str">
            <v>حلواني تاكي</v>
          </cell>
          <cell r="B2105" t="str">
            <v>Horeca Smart</v>
          </cell>
          <cell r="C2105" t="str">
            <v xml:space="preserve">عملاء كاش </v>
          </cell>
          <cell r="D2105" t="str">
            <v>Mona Mohamed</v>
          </cell>
        </row>
        <row r="2106">
          <cell r="A2106" t="str">
            <v>حلواني جولدن ايجل (إكويلا)</v>
          </cell>
          <cell r="B2106" t="str">
            <v>Horeca Smart</v>
          </cell>
          <cell r="C2106" t="str">
            <v xml:space="preserve">عملاء كاش </v>
          </cell>
          <cell r="D2106" t="str">
            <v>Reham Maher</v>
          </cell>
        </row>
        <row r="2107">
          <cell r="A2107" t="str">
            <v>حلواني روتشا</v>
          </cell>
          <cell r="B2107" t="str">
            <v>Horeca Smart</v>
          </cell>
          <cell r="C2107" t="str">
            <v xml:space="preserve">عملاء كاش </v>
          </cell>
          <cell r="D2107" t="str">
            <v>Naden Amgad</v>
          </cell>
        </row>
        <row r="2108">
          <cell r="A2108" t="str">
            <v>حلواني روشية</v>
          </cell>
          <cell r="B2108" t="str">
            <v>Horeca Smart</v>
          </cell>
          <cell r="C2108" t="str">
            <v xml:space="preserve">عملاء كاش </v>
          </cell>
          <cell r="D2108" t="str">
            <v>Naden Amgad</v>
          </cell>
        </row>
        <row r="2109">
          <cell r="A2109" t="str">
            <v>حلواني ريماس</v>
          </cell>
          <cell r="B2109" t="str">
            <v>Horeca Smart</v>
          </cell>
          <cell r="C2109" t="str">
            <v xml:space="preserve">عملاء كاش </v>
          </cell>
          <cell r="D2109" t="str">
            <v>Lames Magdy</v>
          </cell>
        </row>
        <row r="2110">
          <cell r="A2110" t="str">
            <v>حلواني سكر</v>
          </cell>
          <cell r="B2110" t="str">
            <v>Horeca Smart</v>
          </cell>
          <cell r="C2110" t="str">
            <v xml:space="preserve">عملاء كاش </v>
          </cell>
          <cell r="D2110" t="str">
            <v>Mona Mohamed</v>
          </cell>
        </row>
        <row r="2111">
          <cell r="A2111" t="str">
            <v>حلواني فستق حلب</v>
          </cell>
          <cell r="B2111" t="str">
            <v>Horeca Smart</v>
          </cell>
          <cell r="C2111" t="str">
            <v xml:space="preserve">عملاء كاش </v>
          </cell>
          <cell r="D2111" t="str">
            <v>Mona Mohamed</v>
          </cell>
        </row>
        <row r="2112">
          <cell r="A2112" t="str">
            <v>حلواني قصر الشامي</v>
          </cell>
          <cell r="B2112" t="str">
            <v>Horeca Smart</v>
          </cell>
          <cell r="C2112" t="str">
            <v xml:space="preserve">عملاء كاش </v>
          </cell>
          <cell r="D2112" t="str">
            <v>Lames Magdy</v>
          </cell>
        </row>
        <row r="2113">
          <cell r="A2113" t="str">
            <v>حلواني كاندي_الخانكة</v>
          </cell>
          <cell r="B2113" t="str">
            <v>Horeca Smart</v>
          </cell>
          <cell r="C2113" t="str">
            <v xml:space="preserve">عملاء كاش </v>
          </cell>
          <cell r="D2113" t="str">
            <v>Mona Mohamed</v>
          </cell>
        </row>
        <row r="2114">
          <cell r="A2114" t="str">
            <v>حلواني ماستر شيف</v>
          </cell>
          <cell r="B2114" t="str">
            <v>Horeca Smart</v>
          </cell>
          <cell r="C2114" t="str">
            <v xml:space="preserve">عملاء كاش </v>
          </cell>
          <cell r="D2114" t="str">
            <v>Reham Maher</v>
          </cell>
        </row>
        <row r="2115">
          <cell r="A2115" t="str">
            <v>حلواني مطار السوريه</v>
          </cell>
          <cell r="B2115" t="str">
            <v>Horeca Smart</v>
          </cell>
          <cell r="C2115" t="str">
            <v xml:space="preserve">عملاء كاش </v>
          </cell>
          <cell r="D2115" t="str">
            <v>Lames Magdy</v>
          </cell>
        </row>
        <row r="2116">
          <cell r="A2116" t="str">
            <v>حلواني موسكو هانى كيك</v>
          </cell>
          <cell r="B2116" t="str">
            <v>Horeca Smart</v>
          </cell>
          <cell r="C2116" t="str">
            <v xml:space="preserve">عملاء كاش </v>
          </cell>
          <cell r="D2116" t="str">
            <v>Naden Amgad</v>
          </cell>
        </row>
        <row r="2117">
          <cell r="A2117" t="str">
            <v>حلواني ووافل الشيخ</v>
          </cell>
          <cell r="B2117" t="str">
            <v>Horeca Smart</v>
          </cell>
          <cell r="C2117" t="str">
            <v xml:space="preserve">عملاء كاش </v>
          </cell>
          <cell r="D2117" t="str">
            <v>Naden Amgad</v>
          </cell>
        </row>
        <row r="2118">
          <cell r="A2118" t="str">
            <v>حلويات الشهبندر</v>
          </cell>
          <cell r="B2118" t="str">
            <v>Horeca Smart</v>
          </cell>
          <cell r="C2118" t="str">
            <v xml:space="preserve">عملاء كاش </v>
          </cell>
          <cell r="D2118" t="str">
            <v>Mona Mohamed</v>
          </cell>
        </row>
        <row r="2119">
          <cell r="A2119" t="str">
            <v>حلويات كاستيلو</v>
          </cell>
          <cell r="B2119" t="str">
            <v>Horeca Smart</v>
          </cell>
          <cell r="C2119" t="str">
            <v xml:space="preserve">عملاء كاش </v>
          </cell>
          <cell r="D2119" t="str">
            <v>Reham Maher</v>
          </cell>
        </row>
        <row r="2120">
          <cell r="A2120" t="str">
            <v>حمادة شيراتون</v>
          </cell>
          <cell r="B2120" t="str">
            <v>Horeca Smart</v>
          </cell>
          <cell r="C2120" t="str">
            <v xml:space="preserve">عملاء كاش </v>
          </cell>
          <cell r="D2120" t="str">
            <v>Reham Maher</v>
          </cell>
        </row>
        <row r="2121">
          <cell r="A2121" t="str">
            <v>حواوشي افندي</v>
          </cell>
          <cell r="B2121" t="str">
            <v>Horeca Smart</v>
          </cell>
          <cell r="C2121" t="str">
            <v xml:space="preserve">عملاء كاش </v>
          </cell>
          <cell r="D2121" t="str">
            <v>Reham Maher</v>
          </cell>
        </row>
        <row r="2122">
          <cell r="A2122" t="str">
            <v>حواوشي الربيع</v>
          </cell>
          <cell r="B2122" t="str">
            <v>Horeca Smart</v>
          </cell>
          <cell r="C2122" t="str">
            <v xml:space="preserve">عملاء كاش </v>
          </cell>
          <cell r="D2122" t="str">
            <v>Naden Amgad</v>
          </cell>
        </row>
        <row r="2123">
          <cell r="A2123" t="str">
            <v>حواوشي الرفاعي</v>
          </cell>
          <cell r="B2123" t="str">
            <v>Horeca Smart</v>
          </cell>
          <cell r="C2123" t="str">
            <v xml:space="preserve">عملاء كاش </v>
          </cell>
          <cell r="D2123" t="str">
            <v>Reham Maher</v>
          </cell>
        </row>
        <row r="2124">
          <cell r="A2124" t="str">
            <v>حواوشي زيكو</v>
          </cell>
          <cell r="B2124" t="str">
            <v>Horeca Smart</v>
          </cell>
          <cell r="C2124" t="str">
            <v xml:space="preserve">عملاء كاش </v>
          </cell>
          <cell r="D2124" t="str">
            <v>Mona Mohamed</v>
          </cell>
        </row>
        <row r="2125">
          <cell r="A2125" t="str">
            <v>خان الحرير</v>
          </cell>
          <cell r="B2125" t="str">
            <v>Horeca Smart</v>
          </cell>
          <cell r="C2125" t="str">
            <v xml:space="preserve">عملاء كاش </v>
          </cell>
          <cell r="D2125" t="str">
            <v>Mona Mohamed</v>
          </cell>
        </row>
        <row r="2126">
          <cell r="A2126" t="str">
            <v>خلاط مصر</v>
          </cell>
          <cell r="B2126" t="str">
            <v>Horeca Smart</v>
          </cell>
          <cell r="C2126" t="str">
            <v xml:space="preserve">عملاء كاش </v>
          </cell>
          <cell r="D2126" t="str">
            <v>Mona Mohamed</v>
          </cell>
        </row>
        <row r="2127">
          <cell r="A2127" t="str">
            <v>خير بلدى</v>
          </cell>
          <cell r="B2127" t="str">
            <v>Horeca Smart</v>
          </cell>
          <cell r="C2127" t="str">
            <v>موردين كاش</v>
          </cell>
          <cell r="D2127" t="str">
            <v>Amgad Ahmed</v>
          </cell>
        </row>
        <row r="2128">
          <cell r="A2128" t="str">
            <v>خيرات الشام</v>
          </cell>
          <cell r="B2128" t="str">
            <v>Horeca Smart</v>
          </cell>
          <cell r="C2128" t="str">
            <v xml:space="preserve">عملاء كاش </v>
          </cell>
          <cell r="D2128" t="str">
            <v>Mona Mohamed</v>
          </cell>
        </row>
        <row r="2129">
          <cell r="A2129" t="str">
            <v>د كيف</v>
          </cell>
          <cell r="B2129" t="str">
            <v>Horeca Smart</v>
          </cell>
          <cell r="C2129" t="str">
            <v xml:space="preserve">عملاء كاش </v>
          </cell>
          <cell r="D2129" t="str">
            <v>Mona Mohamed</v>
          </cell>
        </row>
        <row r="2130">
          <cell r="A2130" t="str">
            <v>دار الكباب اليمني</v>
          </cell>
          <cell r="B2130" t="str">
            <v>Horeca Smart</v>
          </cell>
          <cell r="C2130" t="str">
            <v xml:space="preserve">عملاء كاش </v>
          </cell>
          <cell r="D2130" t="str">
            <v>Naden Amgad</v>
          </cell>
        </row>
        <row r="2131">
          <cell r="A2131" t="str">
            <v>داماس</v>
          </cell>
          <cell r="B2131" t="str">
            <v>Horeca Smart</v>
          </cell>
          <cell r="C2131" t="str">
            <v xml:space="preserve">عملاء كاش </v>
          </cell>
          <cell r="D2131" t="str">
            <v>Reham Maher</v>
          </cell>
        </row>
        <row r="2132">
          <cell r="A2132" t="str">
            <v>دجاج على الحطب</v>
          </cell>
          <cell r="B2132" t="str">
            <v>Horeca Smart</v>
          </cell>
          <cell r="C2132" t="str">
            <v xml:space="preserve">عملاء كاش </v>
          </cell>
          <cell r="D2132" t="str">
            <v>Reham Maher</v>
          </cell>
        </row>
        <row r="2133">
          <cell r="A2133" t="str">
            <v>درينك ابو حمزة</v>
          </cell>
          <cell r="B2133" t="str">
            <v>Horeca Smart</v>
          </cell>
          <cell r="C2133" t="str">
            <v xml:space="preserve">عملاء كاش </v>
          </cell>
          <cell r="D2133" t="str">
            <v>Lames Magdy</v>
          </cell>
        </row>
        <row r="2134">
          <cell r="A2134" t="str">
            <v>درينك الفيروز</v>
          </cell>
          <cell r="B2134" t="str">
            <v>Horeca Smart</v>
          </cell>
          <cell r="C2134" t="str">
            <v xml:space="preserve">عملاء كاش </v>
          </cell>
          <cell r="D2134" t="str">
            <v>Naden Amgad</v>
          </cell>
        </row>
        <row r="2135">
          <cell r="A2135" t="str">
            <v>درينك اولاد حجازي, درينك اولاد حجازي, الشروق</v>
          </cell>
          <cell r="B2135" t="str">
            <v>Horeca Smart</v>
          </cell>
          <cell r="C2135" t="str">
            <v xml:space="preserve">عملاء كاش </v>
          </cell>
          <cell r="D2135" t="str">
            <v>Shorouk khaled</v>
          </cell>
        </row>
        <row r="2136">
          <cell r="A2136" t="str">
            <v>درينك اولاد حجازي, درينك اولاد حجازي, درينك ابو حجازي</v>
          </cell>
          <cell r="B2136" t="str">
            <v>Horeca Smart</v>
          </cell>
          <cell r="C2136" t="str">
            <v xml:space="preserve">عملاء كاش </v>
          </cell>
          <cell r="D2136" t="str">
            <v>Shorouk khaled</v>
          </cell>
        </row>
        <row r="2137">
          <cell r="A2137" t="str">
            <v>درينك اولاد حجازي, درينك اولاد حجازي, درينك اولاد حجازي 4</v>
          </cell>
          <cell r="B2137" t="str">
            <v>Horeca Smart</v>
          </cell>
          <cell r="C2137" t="str">
            <v xml:space="preserve">عملاء كاش </v>
          </cell>
          <cell r="D2137" t="str">
            <v>Shorouk khaled</v>
          </cell>
        </row>
        <row r="2138">
          <cell r="A2138" t="str">
            <v>دقة عود</v>
          </cell>
          <cell r="B2138" t="str">
            <v>Horeca Smart</v>
          </cell>
          <cell r="C2138" t="str">
            <v xml:space="preserve">عملاء كاش </v>
          </cell>
          <cell r="D2138" t="str">
            <v>Naden Amgad</v>
          </cell>
        </row>
        <row r="2139">
          <cell r="A2139" t="str">
            <v>دقة كشري</v>
          </cell>
          <cell r="B2139" t="str">
            <v>Horeca Smart</v>
          </cell>
          <cell r="C2139" t="str">
            <v xml:space="preserve">عملاء كاش </v>
          </cell>
          <cell r="D2139" t="str">
            <v>Naden Amgad</v>
          </cell>
        </row>
        <row r="2140">
          <cell r="A2140" t="str">
            <v>دكان السعادة</v>
          </cell>
          <cell r="B2140" t="str">
            <v>Horeca Smart</v>
          </cell>
          <cell r="C2140" t="str">
            <v xml:space="preserve">عملاء كاش </v>
          </cell>
          <cell r="D2140" t="str">
            <v>Lames Magdy</v>
          </cell>
        </row>
        <row r="2141">
          <cell r="A2141" t="str">
            <v>دكان بربش</v>
          </cell>
          <cell r="B2141" t="str">
            <v>Horeca Smart</v>
          </cell>
          <cell r="C2141" t="str">
            <v xml:space="preserve">عملاء كاش </v>
          </cell>
          <cell r="D2141" t="str">
            <v>Naden Amgad</v>
          </cell>
        </row>
        <row r="2142">
          <cell r="A2142" t="str">
            <v>دكتورة رشا</v>
          </cell>
          <cell r="B2142" t="str">
            <v>Horeca Smart</v>
          </cell>
          <cell r="C2142" t="str">
            <v xml:space="preserve">عملاء كاش </v>
          </cell>
          <cell r="D2142" t="str">
            <v>Rasha Hassan</v>
          </cell>
        </row>
        <row r="2143">
          <cell r="A2143" t="str">
            <v>دنيا الجمبري</v>
          </cell>
          <cell r="B2143" t="str">
            <v>Horeca Smart</v>
          </cell>
          <cell r="C2143" t="str">
            <v xml:space="preserve">عملاء كاش </v>
          </cell>
          <cell r="D2143" t="str">
            <v>Reham Maher</v>
          </cell>
        </row>
        <row r="2144">
          <cell r="A2144" t="str">
            <v>دنيا الفواكه</v>
          </cell>
          <cell r="B2144" t="str">
            <v>Horeca Smart</v>
          </cell>
          <cell r="C2144" t="str">
            <v xml:space="preserve">عملاء كاش </v>
          </cell>
          <cell r="D2144" t="str">
            <v>Naden Amgad</v>
          </cell>
        </row>
        <row r="2145">
          <cell r="A2145" t="str">
            <v>دهشه</v>
          </cell>
          <cell r="C2145" t="str">
            <v>موردين كاش</v>
          </cell>
          <cell r="D2145" t="str">
            <v>Amgad Ahmed</v>
          </cell>
        </row>
        <row r="2146">
          <cell r="A2146" t="str">
            <v>دوبامين - النزهة</v>
          </cell>
          <cell r="B2146" t="str">
            <v>Horeca Smart</v>
          </cell>
          <cell r="C2146" t="str">
            <v xml:space="preserve">عملاء كاش </v>
          </cell>
          <cell r="D2146" t="str">
            <v>Naden Amgad</v>
          </cell>
        </row>
        <row r="2147">
          <cell r="A2147" t="str">
            <v>دولفين</v>
          </cell>
          <cell r="B2147" t="str">
            <v>Horeca Smart</v>
          </cell>
          <cell r="C2147" t="str">
            <v xml:space="preserve">عملاء كاش </v>
          </cell>
          <cell r="D2147" t="str">
            <v>Naden Amgad</v>
          </cell>
        </row>
        <row r="2148">
          <cell r="A2148" t="str">
            <v>ديلفانتو سوشي</v>
          </cell>
          <cell r="B2148" t="str">
            <v>Horeca Smart</v>
          </cell>
          <cell r="C2148" t="str">
            <v xml:space="preserve">عملاء كاش </v>
          </cell>
          <cell r="D2148" t="str">
            <v>Reham Maher</v>
          </cell>
        </row>
        <row r="2149">
          <cell r="A2149" t="str">
            <v>ديلفانتو سوشي, ديلفانتو سوشي, جسر السويس</v>
          </cell>
          <cell r="B2149" t="str">
            <v>Horeca Smart</v>
          </cell>
          <cell r="C2149" t="str">
            <v xml:space="preserve">عملاء كاش </v>
          </cell>
          <cell r="D2149" t="str">
            <v>Reham Maher</v>
          </cell>
        </row>
        <row r="2150">
          <cell r="A2150" t="str">
            <v>ديلفانتو سوشي, ديلفانتو سوشي, ديلفانتو سوشي - الماظة</v>
          </cell>
          <cell r="B2150" t="str">
            <v>Horeca Smart</v>
          </cell>
          <cell r="C2150" t="str">
            <v xml:space="preserve">عملاء كاش </v>
          </cell>
          <cell r="D2150" t="str">
            <v>Reham Maher</v>
          </cell>
        </row>
        <row r="2151">
          <cell r="A2151" t="str">
            <v>ديلفانتو سوشي, ديلفانتو سوشي, ديلفانتو مخزن</v>
          </cell>
          <cell r="B2151" t="str">
            <v>Horeca Smart</v>
          </cell>
          <cell r="C2151" t="str">
            <v xml:space="preserve">عملاء كاش </v>
          </cell>
          <cell r="D2151" t="str">
            <v>Reham Maher</v>
          </cell>
        </row>
        <row r="2152">
          <cell r="A2152" t="str">
            <v>ديماس للمأكولات السوريه</v>
          </cell>
          <cell r="B2152" t="str">
            <v>Horeca Smart</v>
          </cell>
          <cell r="C2152" t="str">
            <v xml:space="preserve">عملاء كاش </v>
          </cell>
          <cell r="D2152" t="str">
            <v>Lames Magdy</v>
          </cell>
        </row>
        <row r="2153">
          <cell r="A2153" t="str">
            <v>ذا تشيز فاكتورى</v>
          </cell>
          <cell r="B2153" t="str">
            <v>Horeca Smart</v>
          </cell>
          <cell r="C2153" t="str">
            <v xml:space="preserve">عملاء كاش </v>
          </cell>
          <cell r="D2153" t="str">
            <v>Naden Amgad</v>
          </cell>
        </row>
        <row r="2154">
          <cell r="A2154" t="str">
            <v>ذا فود هاب</v>
          </cell>
          <cell r="B2154" t="str">
            <v>Horeca Smart</v>
          </cell>
          <cell r="C2154" t="str">
            <v xml:space="preserve">عملاء كاش </v>
          </cell>
          <cell r="D2154" t="str">
            <v>Reham Maher</v>
          </cell>
        </row>
        <row r="2155">
          <cell r="A2155" t="str">
            <v>ذا كوكينج سكول للتطوير السياحي</v>
          </cell>
          <cell r="B2155" t="str">
            <v>Horeca Smart</v>
          </cell>
          <cell r="C2155" t="str">
            <v xml:space="preserve">عملاء كاش </v>
          </cell>
          <cell r="D2155" t="str">
            <v>Reham Maher</v>
          </cell>
        </row>
        <row r="2156">
          <cell r="A2156" t="str">
            <v>ذا واى</v>
          </cell>
          <cell r="B2156" t="str">
            <v>Horeca Smart</v>
          </cell>
          <cell r="C2156" t="str">
            <v xml:space="preserve">عملاء كاش </v>
          </cell>
          <cell r="D2156" t="str">
            <v>Naden Amgad</v>
          </cell>
        </row>
        <row r="2157">
          <cell r="A2157" t="str">
            <v>ذائقة الهند</v>
          </cell>
          <cell r="B2157" t="str">
            <v>Horeca Smart</v>
          </cell>
          <cell r="C2157" t="str">
            <v xml:space="preserve">عملاء كاش </v>
          </cell>
          <cell r="D2157" t="str">
            <v>Naden Amgad</v>
          </cell>
        </row>
        <row r="2158">
          <cell r="A2158" t="str">
            <v>راما</v>
          </cell>
          <cell r="B2158" t="str">
            <v>Horeca Smart</v>
          </cell>
          <cell r="C2158" t="str">
            <v xml:space="preserve">عملاء كاش </v>
          </cell>
          <cell r="D2158" t="str">
            <v>Lames Magdy</v>
          </cell>
        </row>
        <row r="2159">
          <cell r="A2159" t="str">
            <v>رايه لتوزيع المنتجات سريعة التداول</v>
          </cell>
          <cell r="C2159" t="str">
            <v>موردين كاش</v>
          </cell>
          <cell r="D2159" t="str">
            <v>Amgad Ahmed</v>
          </cell>
        </row>
        <row r="2160">
          <cell r="A2160" t="str">
            <v>رشفة</v>
          </cell>
          <cell r="B2160" t="str">
            <v>Horeca Smart</v>
          </cell>
          <cell r="C2160" t="str">
            <v xml:space="preserve">عملاء كاش </v>
          </cell>
          <cell r="D2160" t="str">
            <v>Lames Magdy</v>
          </cell>
        </row>
        <row r="2161">
          <cell r="A2161" t="str">
            <v>رغدان السورى</v>
          </cell>
          <cell r="B2161" t="str">
            <v>Horeca Smart</v>
          </cell>
          <cell r="C2161" t="str">
            <v xml:space="preserve">عملاء كاش </v>
          </cell>
          <cell r="D2161" t="str">
            <v>Donia Khaled</v>
          </cell>
        </row>
        <row r="2162">
          <cell r="A2162" t="str">
            <v>ركن الاسماك</v>
          </cell>
          <cell r="B2162" t="str">
            <v>Horeca Smart</v>
          </cell>
          <cell r="C2162" t="str">
            <v xml:space="preserve">عملاء كاش </v>
          </cell>
          <cell r="D2162" t="str">
            <v>Shorouk khaled</v>
          </cell>
        </row>
        <row r="2163">
          <cell r="A2163" t="str">
            <v>ركن السعادة</v>
          </cell>
          <cell r="B2163" t="str">
            <v>Horeca Smart</v>
          </cell>
          <cell r="C2163" t="str">
            <v xml:space="preserve">عملاء كاش </v>
          </cell>
          <cell r="D2163" t="str">
            <v>Lames Magdy</v>
          </cell>
        </row>
        <row r="2164">
          <cell r="A2164" t="str">
            <v>روتانا</v>
          </cell>
          <cell r="B2164" t="str">
            <v>Horeca Smart</v>
          </cell>
          <cell r="C2164" t="str">
            <v xml:space="preserve">عملاء كاش </v>
          </cell>
          <cell r="D2164" t="str">
            <v>Shorouk khaled</v>
          </cell>
        </row>
        <row r="2165">
          <cell r="A2165" t="str">
            <v>روح البحر</v>
          </cell>
          <cell r="B2165" t="str">
            <v>Horeca Smart</v>
          </cell>
          <cell r="C2165" t="str">
            <v xml:space="preserve">عملاء كاش </v>
          </cell>
          <cell r="D2165" t="str">
            <v>Donia Khaled</v>
          </cell>
        </row>
        <row r="2166">
          <cell r="A2166" t="str">
            <v>روح بيروت</v>
          </cell>
          <cell r="B2166" t="str">
            <v>Horeca Smart</v>
          </cell>
          <cell r="C2166" t="str">
            <v xml:space="preserve">عملاء كاش </v>
          </cell>
          <cell r="D2166" t="str">
            <v>Donia Khaled</v>
          </cell>
        </row>
        <row r="2167">
          <cell r="A2167" t="str">
            <v>روسترز</v>
          </cell>
          <cell r="B2167" t="str">
            <v>Horeca Smart</v>
          </cell>
          <cell r="C2167" t="str">
            <v xml:space="preserve">عملاء كاش </v>
          </cell>
          <cell r="D2167" t="str">
            <v>Donia Khaled</v>
          </cell>
        </row>
        <row r="2168">
          <cell r="A2168" t="str">
            <v>روسيني</v>
          </cell>
          <cell r="B2168" t="str">
            <v>Horeca Smart</v>
          </cell>
          <cell r="C2168" t="str">
            <v xml:space="preserve">عملاء كاش </v>
          </cell>
          <cell r="D2168" t="str">
            <v>Donia Khaled</v>
          </cell>
        </row>
        <row r="2169">
          <cell r="A2169" t="str">
            <v>رومانتيك تريد للتوريدات</v>
          </cell>
          <cell r="B2169" t="str">
            <v>Horeca Smart</v>
          </cell>
          <cell r="C2169" t="str">
            <v xml:space="preserve">عملاء كاش </v>
          </cell>
          <cell r="D2169" t="str">
            <v>Reham Maher</v>
          </cell>
        </row>
        <row r="2170">
          <cell r="A2170" t="str">
            <v>رويال تريد لخامات الحلوانى</v>
          </cell>
          <cell r="B2170" t="str">
            <v>MAS</v>
          </cell>
          <cell r="C2170" t="str">
            <v>موردين كاش</v>
          </cell>
          <cell r="D2170" t="str">
            <v>Amgad Ahmed</v>
          </cell>
        </row>
        <row r="2171">
          <cell r="A2171" t="str">
            <v>رويال سويت</v>
          </cell>
          <cell r="C2171" t="str">
            <v xml:space="preserve">موردين اجل </v>
          </cell>
          <cell r="D2171" t="str">
            <v>Amgad Ahmed</v>
          </cell>
        </row>
        <row r="2172">
          <cell r="A2172" t="str">
            <v>ريتش بان</v>
          </cell>
          <cell r="B2172" t="str">
            <v>Horeca Smart</v>
          </cell>
          <cell r="C2172" t="str">
            <v xml:space="preserve">عملاء كاش </v>
          </cell>
          <cell r="D2172" t="str">
            <v>Donia Khaled</v>
          </cell>
        </row>
        <row r="2173">
          <cell r="A2173" t="str">
            <v>ريجينا</v>
          </cell>
          <cell r="B2173" t="str">
            <v>Horeca Smart</v>
          </cell>
          <cell r="C2173" t="str">
            <v>موردين كاش</v>
          </cell>
          <cell r="D2173" t="str">
            <v>Amgad Ahmed</v>
          </cell>
        </row>
        <row r="2174">
          <cell r="A2174" t="str">
            <v>ريحانة, ريحانة, ريحانة - التجمع الاول</v>
          </cell>
          <cell r="B2174" t="str">
            <v>Horeca Smart</v>
          </cell>
          <cell r="C2174" t="str">
            <v xml:space="preserve">عملاء كاش </v>
          </cell>
          <cell r="D2174" t="str">
            <v>Mona Mohamed</v>
          </cell>
        </row>
        <row r="2175">
          <cell r="A2175" t="str">
            <v>ريد جود</v>
          </cell>
          <cell r="B2175" t="str">
            <v>Horeca Smart</v>
          </cell>
          <cell r="C2175" t="str">
            <v xml:space="preserve">عملاء كاش </v>
          </cell>
          <cell r="D2175" t="str">
            <v>Lames Magdy</v>
          </cell>
        </row>
        <row r="2176">
          <cell r="A2176" t="str">
            <v>ريمونا cafe</v>
          </cell>
          <cell r="B2176" t="str">
            <v>Horeca Smart</v>
          </cell>
          <cell r="C2176" t="str">
            <v xml:space="preserve">عملاء كاش </v>
          </cell>
          <cell r="D2176" t="str">
            <v>Lames Magdy</v>
          </cell>
        </row>
        <row r="2177">
          <cell r="A2177" t="str">
            <v>زاو</v>
          </cell>
          <cell r="B2177" t="str">
            <v>Horeca Smart</v>
          </cell>
          <cell r="C2177" t="str">
            <v xml:space="preserve">عملاء كاش </v>
          </cell>
          <cell r="D2177" t="str">
            <v>Donia Khaled</v>
          </cell>
        </row>
        <row r="2178">
          <cell r="A2178" t="str">
            <v>زونزاي سوشي</v>
          </cell>
          <cell r="B2178" t="str">
            <v>Horeca Smart</v>
          </cell>
          <cell r="C2178" t="str">
            <v xml:space="preserve">عملاء كاش </v>
          </cell>
          <cell r="D2178" t="str">
            <v>Naden Amgad</v>
          </cell>
        </row>
        <row r="2179">
          <cell r="A2179" t="str">
            <v>زي سوشي</v>
          </cell>
          <cell r="B2179" t="str">
            <v>Horeca Smart</v>
          </cell>
          <cell r="C2179" t="str">
            <v xml:space="preserve">عملاء كاش </v>
          </cell>
          <cell r="D2179" t="str">
            <v>Naden Amgad</v>
          </cell>
        </row>
        <row r="2180">
          <cell r="A2180" t="str">
            <v>زي سوشي, زي سوشي, زي سوشي - المهندسين</v>
          </cell>
          <cell r="B2180" t="str">
            <v>Horeca Smart</v>
          </cell>
          <cell r="C2180" t="str">
            <v xml:space="preserve">عملاء كاش </v>
          </cell>
          <cell r="D2180" t="str">
            <v>Naden Amgad</v>
          </cell>
        </row>
        <row r="2181">
          <cell r="A2181" t="str">
            <v>زي سوشي, زي سوشي, زي سوشي - حدائق الاهرام</v>
          </cell>
          <cell r="B2181" t="str">
            <v>Horeca Smart</v>
          </cell>
          <cell r="C2181" t="str">
            <v xml:space="preserve">عملاء كاش </v>
          </cell>
          <cell r="D2181" t="str">
            <v>Naden Amgad</v>
          </cell>
        </row>
        <row r="2182">
          <cell r="A2182" t="str">
            <v>زي سوشي, زي سوشي, زي سوشي مصر الجديدة</v>
          </cell>
          <cell r="B2182" t="str">
            <v>Horeca Smart</v>
          </cell>
          <cell r="C2182" t="str">
            <v xml:space="preserve">عملاء كاش </v>
          </cell>
          <cell r="D2182" t="str">
            <v>Mona Mohamed</v>
          </cell>
        </row>
        <row r="2183">
          <cell r="A2183" t="str">
            <v>زياميليا للاطعمة والمشروبات</v>
          </cell>
          <cell r="B2183" t="str">
            <v>Horeca Smart</v>
          </cell>
          <cell r="C2183" t="str">
            <v xml:space="preserve">عملاء كاش </v>
          </cell>
          <cell r="D2183" t="str">
            <v>Reham Maher</v>
          </cell>
        </row>
        <row r="2184">
          <cell r="A2184" t="str">
            <v>زين السوري</v>
          </cell>
          <cell r="B2184" t="str">
            <v>Horeca Smart</v>
          </cell>
          <cell r="C2184" t="str">
            <v xml:space="preserve">عملاء كاش </v>
          </cell>
          <cell r="D2184" t="str">
            <v>Donia Khaled</v>
          </cell>
        </row>
        <row r="2185">
          <cell r="A2185" t="str">
            <v>زينة الشام</v>
          </cell>
          <cell r="B2185" t="str">
            <v>Horeca Smart</v>
          </cell>
          <cell r="C2185" t="str">
            <v xml:space="preserve">عملاء كاش </v>
          </cell>
          <cell r="D2185" t="str">
            <v>Naden Amgad</v>
          </cell>
        </row>
        <row r="2186">
          <cell r="A2186" t="str">
            <v>زيوت سقارة العطرية</v>
          </cell>
          <cell r="B2186" t="str">
            <v>Horeca Smart</v>
          </cell>
          <cell r="C2186" t="str">
            <v xml:space="preserve">عملاء كاش </v>
          </cell>
          <cell r="D2186" t="str">
            <v>Mona Mohamed</v>
          </cell>
        </row>
        <row r="2187">
          <cell r="A2187" t="str">
            <v>سابليه للحلويات</v>
          </cell>
          <cell r="B2187" t="str">
            <v>Horeca Smart</v>
          </cell>
          <cell r="C2187" t="str">
            <v xml:space="preserve">عملاء كاش </v>
          </cell>
          <cell r="D2187" t="str">
            <v>Mona Mohamed</v>
          </cell>
        </row>
        <row r="2188">
          <cell r="A2188" t="str">
            <v>سافوي</v>
          </cell>
          <cell r="B2188" t="str">
            <v>Horeca Smart</v>
          </cell>
          <cell r="C2188" t="str">
            <v xml:space="preserve">عملاء كاش </v>
          </cell>
          <cell r="D2188" t="str">
            <v>Donia Khaled</v>
          </cell>
        </row>
        <row r="2189">
          <cell r="A2189" t="str">
            <v>ساكو سوشي</v>
          </cell>
          <cell r="B2189" t="str">
            <v>Horeca Smart</v>
          </cell>
          <cell r="C2189" t="str">
            <v xml:space="preserve">عملاء كاش </v>
          </cell>
          <cell r="D2189" t="str">
            <v>Donia Khaled</v>
          </cell>
        </row>
        <row r="2190">
          <cell r="A2190" t="str">
            <v>سامح وسط البلد</v>
          </cell>
          <cell r="B2190" t="str">
            <v>Horeca Smart</v>
          </cell>
          <cell r="C2190" t="str">
            <v xml:space="preserve">عملاء كاش </v>
          </cell>
          <cell r="D2190" t="str">
            <v>Donia Khaled</v>
          </cell>
        </row>
        <row r="2191">
          <cell r="A2191" t="str">
            <v>ستارز للكاترينج</v>
          </cell>
          <cell r="B2191" t="str">
            <v>Horeca Smart</v>
          </cell>
          <cell r="C2191" t="str">
            <v xml:space="preserve">عملاء كاش </v>
          </cell>
          <cell r="D2191" t="str">
            <v>Lames Magdy</v>
          </cell>
        </row>
        <row r="2192">
          <cell r="A2192" t="str">
            <v>سعودي ماركت</v>
          </cell>
          <cell r="B2192" t="str">
            <v>Horeca Smart</v>
          </cell>
          <cell r="C2192" t="str">
            <v>موردين كاش</v>
          </cell>
          <cell r="D2192" t="str">
            <v>Amgad Ahmed</v>
          </cell>
        </row>
        <row r="2193">
          <cell r="A2193" t="str">
            <v>سفاري 2000 - الهرم</v>
          </cell>
          <cell r="B2193" t="str">
            <v>Horeca Smart</v>
          </cell>
          <cell r="C2193" t="str">
            <v xml:space="preserve">عملاء كاش </v>
          </cell>
          <cell r="D2193" t="str">
            <v>Naden Amgad</v>
          </cell>
        </row>
        <row r="2194">
          <cell r="A2194" t="str">
            <v>سفيان الشام</v>
          </cell>
          <cell r="B2194" t="str">
            <v>Horeca Smart</v>
          </cell>
          <cell r="C2194" t="str">
            <v xml:space="preserve">عملاء كاش </v>
          </cell>
          <cell r="D2194" t="str">
            <v>Donia Khaled</v>
          </cell>
        </row>
        <row r="2195">
          <cell r="A2195" t="str">
            <v>سقطرى</v>
          </cell>
          <cell r="B2195" t="str">
            <v>Horeca Smart</v>
          </cell>
          <cell r="C2195" t="str">
            <v xml:space="preserve">عملاء كاش </v>
          </cell>
          <cell r="D2195" t="str">
            <v>Naden Amgad</v>
          </cell>
        </row>
        <row r="2196">
          <cell r="A2196" t="str">
            <v>سكر</v>
          </cell>
          <cell r="B2196" t="str">
            <v>Horeca Smart</v>
          </cell>
          <cell r="C2196" t="str">
            <v xml:space="preserve">عملاء كاش </v>
          </cell>
          <cell r="D2196" t="str">
            <v>Donia Khaled</v>
          </cell>
        </row>
        <row r="2197">
          <cell r="A2197" t="str">
            <v>سكودرا</v>
          </cell>
          <cell r="B2197" t="str">
            <v>Horeca Smart</v>
          </cell>
          <cell r="C2197" t="str">
            <v xml:space="preserve">عملاء كاش </v>
          </cell>
          <cell r="D2197" t="str">
            <v>Mona Mohamed</v>
          </cell>
        </row>
        <row r="2198">
          <cell r="A2198" t="str">
            <v>سمايل فوود</v>
          </cell>
          <cell r="B2198" t="str">
            <v>Horeca Smart</v>
          </cell>
          <cell r="C2198" t="str">
            <v xml:space="preserve">عملاء كاش </v>
          </cell>
          <cell r="D2198" t="str">
            <v>Naden Amgad</v>
          </cell>
        </row>
        <row r="2199">
          <cell r="A2199" t="str">
            <v>سمايلز للتجاره</v>
          </cell>
          <cell r="B2199" t="str">
            <v>Horeca Smart</v>
          </cell>
          <cell r="C2199" t="str">
            <v xml:space="preserve">موردين اجل </v>
          </cell>
          <cell r="D2199" t="str">
            <v>Amgad Ahmed</v>
          </cell>
        </row>
        <row r="2200">
          <cell r="A2200" t="str">
            <v>سمكنا للمأكولات البحرية</v>
          </cell>
          <cell r="B2200" t="str">
            <v>Horeca Smart</v>
          </cell>
          <cell r="C2200" t="str">
            <v xml:space="preserve">عملاء كاش </v>
          </cell>
          <cell r="D2200" t="str">
            <v>Lames Magdy</v>
          </cell>
        </row>
        <row r="2201">
          <cell r="A2201" t="str">
            <v>سموشى</v>
          </cell>
          <cell r="B2201" t="str">
            <v>Horeca Smart</v>
          </cell>
          <cell r="C2201" t="str">
            <v xml:space="preserve">عملاء كاش </v>
          </cell>
          <cell r="D2201" t="str">
            <v>Donia Khaled</v>
          </cell>
        </row>
        <row r="2202">
          <cell r="A2202" t="str">
            <v>سموكرى</v>
          </cell>
          <cell r="B2202" t="str">
            <v>Horeca Smart</v>
          </cell>
          <cell r="C2202" t="str">
            <v xml:space="preserve">عملاء كاش </v>
          </cell>
          <cell r="D2202" t="str">
            <v>Naden Amgad</v>
          </cell>
        </row>
        <row r="2203">
          <cell r="A2203" t="str">
            <v>سناره</v>
          </cell>
          <cell r="B2203" t="str">
            <v>Horeca Smart</v>
          </cell>
          <cell r="C2203" t="str">
            <v xml:space="preserve">عملاء كاش </v>
          </cell>
          <cell r="D2203" t="str">
            <v>Naden Amgad</v>
          </cell>
        </row>
        <row r="2204">
          <cell r="A2204" t="str">
            <v>سناره, سناره, سناره - العاشر من رمضان</v>
          </cell>
          <cell r="B2204" t="str">
            <v>Horeca Smart</v>
          </cell>
          <cell r="C2204" t="str">
            <v xml:space="preserve">عملاء كاش </v>
          </cell>
          <cell r="D2204" t="str">
            <v>Naden Amgad</v>
          </cell>
        </row>
        <row r="2205">
          <cell r="A2205" t="str">
            <v>سناره, سناره, سناره - مصر الجديدة</v>
          </cell>
          <cell r="B2205" t="str">
            <v>Horeca Smart</v>
          </cell>
          <cell r="C2205" t="str">
            <v xml:space="preserve">عملاء كاش </v>
          </cell>
          <cell r="D2205" t="str">
            <v>Naden Amgad</v>
          </cell>
        </row>
        <row r="2206">
          <cell r="A2206" t="str">
            <v>سندوتشات عبقرينو</v>
          </cell>
          <cell r="B2206" t="str">
            <v>Horeca Smart</v>
          </cell>
          <cell r="C2206" t="str">
            <v xml:space="preserve">عملاء كاش </v>
          </cell>
          <cell r="D2206" t="str">
            <v>Naden Amgad</v>
          </cell>
        </row>
        <row r="2207">
          <cell r="A2207" t="str">
            <v>سوبريم</v>
          </cell>
          <cell r="B2207" t="str">
            <v>Horeca Smart</v>
          </cell>
          <cell r="C2207" t="str">
            <v xml:space="preserve">عملاء كاش </v>
          </cell>
          <cell r="D2207" t="str">
            <v>Lames Magdy</v>
          </cell>
        </row>
        <row r="2208">
          <cell r="A2208" t="str">
            <v>سوبيكو</v>
          </cell>
          <cell r="C2208" t="str">
            <v>موردين كاش</v>
          </cell>
          <cell r="D2208" t="str">
            <v>Amgad Ahmed</v>
          </cell>
        </row>
        <row r="2209">
          <cell r="A2209" t="str">
            <v>سودانيز كورنر</v>
          </cell>
          <cell r="B2209" t="str">
            <v>Horeca Smart</v>
          </cell>
          <cell r="C2209" t="str">
            <v xml:space="preserve">عملاء كاش </v>
          </cell>
          <cell r="D2209" t="str">
            <v>Lames Magdy</v>
          </cell>
        </row>
        <row r="2210">
          <cell r="A2210" t="str">
            <v>سوشي ان بوكس, سوشي ان بوكس, سوشي ان بوكس - شيراتون</v>
          </cell>
          <cell r="B2210" t="str">
            <v>Horeca Smart</v>
          </cell>
          <cell r="C2210" t="str">
            <v xml:space="preserve">عملاء كاش </v>
          </cell>
          <cell r="D2210" t="str">
            <v>Naden Amgad</v>
          </cell>
        </row>
        <row r="2211">
          <cell r="A2211" t="str">
            <v>سوشي ان بوكس, سوشي ان بوكس, سوشي ان بوكس - مدينة نصر</v>
          </cell>
          <cell r="B2211" t="str">
            <v>Horeca Smart</v>
          </cell>
          <cell r="C2211" t="str">
            <v xml:space="preserve">عملاء كاش </v>
          </cell>
          <cell r="D2211" t="str">
            <v>Lames Magdy</v>
          </cell>
        </row>
        <row r="2212">
          <cell r="A2212" t="str">
            <v>سوشي سبوت, سوشي سبوت, سوشي سبوت - التجمع</v>
          </cell>
          <cell r="B2212" t="str">
            <v>Horeca Smart</v>
          </cell>
          <cell r="C2212" t="str">
            <v xml:space="preserve">عملاء كاش </v>
          </cell>
          <cell r="D2212" t="str">
            <v>Shorouk khaled</v>
          </cell>
        </row>
        <row r="2213">
          <cell r="A2213" t="str">
            <v>سوشي سيركل</v>
          </cell>
          <cell r="B2213" t="str">
            <v>Horeca Smart</v>
          </cell>
          <cell r="C2213" t="str">
            <v xml:space="preserve">عملاء كاش </v>
          </cell>
          <cell r="D2213" t="str">
            <v>Naden Amgad</v>
          </cell>
        </row>
        <row r="2214">
          <cell r="A2214" t="str">
            <v>سوشي سيركل, سوشي سيركل, سوشي سيركل - المعادي</v>
          </cell>
          <cell r="B2214" t="str">
            <v>Horeca Smart</v>
          </cell>
          <cell r="C2214" t="str">
            <v xml:space="preserve">عملاء كاش </v>
          </cell>
          <cell r="D2214" t="str">
            <v>Naden Amgad</v>
          </cell>
        </row>
        <row r="2215">
          <cell r="A2215" t="str">
            <v>سوشي سيركل, سوشي سيركل, سوشي سيركل - مدينتي</v>
          </cell>
          <cell r="B2215" t="str">
            <v>Horeca Smart</v>
          </cell>
          <cell r="C2215" t="str">
            <v xml:space="preserve">عملاء كاش </v>
          </cell>
          <cell r="D2215" t="str">
            <v>Naden Amgad</v>
          </cell>
        </row>
        <row r="2216">
          <cell r="A2216" t="str">
            <v>سوشي هبه</v>
          </cell>
          <cell r="B2216" t="str">
            <v>Horeca Smart</v>
          </cell>
          <cell r="C2216" t="str">
            <v xml:space="preserve">عملاء كاش </v>
          </cell>
          <cell r="D2216" t="str">
            <v>Naden Amgad</v>
          </cell>
        </row>
        <row r="2217">
          <cell r="A2217" t="str">
            <v>سوشي ياكي</v>
          </cell>
          <cell r="B2217" t="str">
            <v>Horeca Smart</v>
          </cell>
          <cell r="C2217" t="str">
            <v xml:space="preserve">عملاء كاش </v>
          </cell>
          <cell r="D2217" t="str">
            <v>Naden Amgad</v>
          </cell>
        </row>
        <row r="2218">
          <cell r="A2218" t="str">
            <v>سوق سمك بورسعيد</v>
          </cell>
          <cell r="B2218" t="str">
            <v>Horeca Smart</v>
          </cell>
          <cell r="C2218" t="str">
            <v xml:space="preserve">عملاء كاش </v>
          </cell>
          <cell r="D2218" t="str">
            <v>Lames Magdy</v>
          </cell>
        </row>
        <row r="2219">
          <cell r="A2219" t="str">
            <v>سولى لاونچ</v>
          </cell>
          <cell r="B2219" t="str">
            <v>Horeca Smart</v>
          </cell>
          <cell r="C2219" t="str">
            <v xml:space="preserve">عملاء كاش </v>
          </cell>
          <cell r="D2219" t="str">
            <v>Naden Amgad</v>
          </cell>
        </row>
        <row r="2220">
          <cell r="A2220" t="str">
            <v>سويت دايت</v>
          </cell>
          <cell r="B2220" t="str">
            <v>Horeca Smart</v>
          </cell>
          <cell r="C2220" t="str">
            <v xml:space="preserve">عملاء كاش </v>
          </cell>
          <cell r="D2220" t="str">
            <v>Lames Magdy</v>
          </cell>
        </row>
        <row r="2221">
          <cell r="A2221" t="str">
            <v>سويت سنتر</v>
          </cell>
          <cell r="B2221" t="str">
            <v>Horeca Smart</v>
          </cell>
          <cell r="C2221" t="str">
            <v xml:space="preserve">عملاء كاش </v>
          </cell>
          <cell r="D2221" t="str">
            <v>Donia Khaled</v>
          </cell>
        </row>
        <row r="2222">
          <cell r="A2222" t="str">
            <v>سي برجر</v>
          </cell>
          <cell r="B2222" t="str">
            <v>Horeca Smart</v>
          </cell>
          <cell r="C2222" t="str">
            <v xml:space="preserve">عملاء كاش </v>
          </cell>
          <cell r="D2222" t="str">
            <v>Naden Amgad</v>
          </cell>
        </row>
        <row r="2223">
          <cell r="A2223" t="str">
            <v>سي جمبريتو</v>
          </cell>
          <cell r="B2223" t="str">
            <v>Horeca Smart</v>
          </cell>
          <cell r="C2223" t="str">
            <v xml:space="preserve">عملاء كاش </v>
          </cell>
          <cell r="D2223" t="str">
            <v>Naden Amgad</v>
          </cell>
        </row>
        <row r="2224">
          <cell r="A2224" t="str">
            <v>سي مرجان, سي مرجان, سي مرجان (كورنيش المعادي)</v>
          </cell>
          <cell r="B2224" t="str">
            <v>Horeca Smart</v>
          </cell>
          <cell r="C2224" t="str">
            <v xml:space="preserve">عملاء كاش </v>
          </cell>
          <cell r="D2224" t="str">
            <v>Reham Maher</v>
          </cell>
        </row>
        <row r="2225">
          <cell r="A2225" t="str">
            <v>سي مرجان, سي مرجان, سي مرجان - 15 مايو</v>
          </cell>
          <cell r="B2225" t="str">
            <v>Horeca Smart</v>
          </cell>
          <cell r="C2225" t="str">
            <v xml:space="preserve">عملاء كاش </v>
          </cell>
          <cell r="D2225" t="str">
            <v>Reham Maher</v>
          </cell>
        </row>
        <row r="2226">
          <cell r="A2226" t="str">
            <v>سي مرجان, سي مرجان, سي مرجان - زهراء المعادى</v>
          </cell>
          <cell r="B2226" t="str">
            <v>Horeca Smart</v>
          </cell>
          <cell r="C2226" t="str">
            <v xml:space="preserve">عملاء كاش </v>
          </cell>
          <cell r="D2226" t="str">
            <v>Reham Maher</v>
          </cell>
        </row>
        <row r="2227">
          <cell r="A2227" t="str">
            <v>سيتي</v>
          </cell>
          <cell r="B2227" t="str">
            <v>Horeca Smart</v>
          </cell>
          <cell r="C2227" t="str">
            <v xml:space="preserve">عملاء كاش </v>
          </cell>
          <cell r="D2227" t="str">
            <v>Reham Maher</v>
          </cell>
        </row>
        <row r="2228">
          <cell r="A2228" t="str">
            <v>سيتي درينك - العبور</v>
          </cell>
          <cell r="B2228" t="str">
            <v>Horeca Smart</v>
          </cell>
          <cell r="C2228" t="str">
            <v xml:space="preserve">عملاء كاش </v>
          </cell>
          <cell r="D2228" t="str">
            <v>Naden Amgad</v>
          </cell>
        </row>
        <row r="2229">
          <cell r="A2229" t="str">
            <v>سيتي كريب</v>
          </cell>
          <cell r="B2229" t="str">
            <v>Horeca Smart</v>
          </cell>
          <cell r="C2229" t="str">
            <v xml:space="preserve">عملاء كاش </v>
          </cell>
          <cell r="D2229" t="str">
            <v>Lames Magdy</v>
          </cell>
        </row>
        <row r="2230">
          <cell r="A2230" t="str">
            <v>سيتي كريب, سيتي كريب, سيتي كريب - الرحاب</v>
          </cell>
          <cell r="B2230" t="str">
            <v>Horeca Smart</v>
          </cell>
          <cell r="C2230" t="str">
            <v xml:space="preserve">عملاء كاش </v>
          </cell>
          <cell r="D2230" t="str">
            <v>Naden Amgad</v>
          </cell>
        </row>
        <row r="2231">
          <cell r="A2231" t="str">
            <v>سيتي كريب, سيتي كريب, سيتي كريب - مدينة نصر</v>
          </cell>
          <cell r="B2231" t="str">
            <v>Horeca Smart</v>
          </cell>
          <cell r="C2231" t="str">
            <v xml:space="preserve">عملاء كاش </v>
          </cell>
          <cell r="D2231" t="str">
            <v>Lames Magdy</v>
          </cell>
        </row>
        <row r="2232">
          <cell r="A2232" t="str">
            <v>سيخ مشوي</v>
          </cell>
          <cell r="B2232" t="str">
            <v>Horeca Smart</v>
          </cell>
          <cell r="C2232" t="str">
            <v xml:space="preserve">عملاء كاش </v>
          </cell>
          <cell r="D2232" t="str">
            <v>Naden Amgad</v>
          </cell>
        </row>
        <row r="2233">
          <cell r="A2233" t="str">
            <v>سيزلر</v>
          </cell>
          <cell r="B2233" t="str">
            <v>Horeca Smart</v>
          </cell>
          <cell r="C2233" t="str">
            <v xml:space="preserve">عملاء كاش </v>
          </cell>
          <cell r="D2233" t="str">
            <v>Naden Amgad</v>
          </cell>
        </row>
        <row r="2234">
          <cell r="A2234" t="str">
            <v>سينوراس كاترينج</v>
          </cell>
          <cell r="B2234" t="str">
            <v>Horeca Smart</v>
          </cell>
          <cell r="C2234" t="str">
            <v xml:space="preserve">عملاء كاش </v>
          </cell>
          <cell r="D2234" t="str">
            <v>Naden Amgad</v>
          </cell>
        </row>
        <row r="2235">
          <cell r="A2235" t="str">
            <v>شادر السمك</v>
          </cell>
          <cell r="B2235" t="str">
            <v>Horeca Smart</v>
          </cell>
          <cell r="C2235" t="str">
            <v xml:space="preserve">عملاء كاش </v>
          </cell>
          <cell r="D2235" t="str">
            <v>Naden Amgad</v>
          </cell>
        </row>
        <row r="2236">
          <cell r="A2236" t="str">
            <v>شارك للتوريدات العموميه</v>
          </cell>
          <cell r="B2236" t="str">
            <v>Horeca Smart</v>
          </cell>
          <cell r="C2236" t="str">
            <v>موردين كاش</v>
          </cell>
          <cell r="D2236" t="str">
            <v>Rasha Hassan</v>
          </cell>
        </row>
        <row r="2237">
          <cell r="A2237" t="str">
            <v>شاسكو للصناعات الغذائية</v>
          </cell>
        </row>
        <row r="2238">
          <cell r="A2238" t="str">
            <v>شاورما أبو رامز السوري</v>
          </cell>
          <cell r="B2238" t="str">
            <v>Horeca Smart</v>
          </cell>
          <cell r="C2238" t="str">
            <v xml:space="preserve">عملاء كاش </v>
          </cell>
          <cell r="D2238" t="str">
            <v>Naden Amgad</v>
          </cell>
        </row>
        <row r="2239">
          <cell r="A2239" t="str">
            <v>شاورما ابو العبد</v>
          </cell>
          <cell r="B2239" t="str">
            <v>Horeca Smart</v>
          </cell>
          <cell r="C2239" t="str">
            <v xml:space="preserve">عملاء كاش </v>
          </cell>
          <cell r="D2239" t="str">
            <v>Lames Magdy</v>
          </cell>
        </row>
        <row r="2240">
          <cell r="A2240" t="str">
            <v>شاورما ابو رفاعي</v>
          </cell>
          <cell r="B2240" t="str">
            <v>Horeca Smart</v>
          </cell>
          <cell r="C2240" t="str">
            <v xml:space="preserve">عملاء كاش </v>
          </cell>
          <cell r="D2240" t="str">
            <v>Naden Amgad</v>
          </cell>
        </row>
        <row r="2241">
          <cell r="A2241" t="str">
            <v>شاورما الدمشقى</v>
          </cell>
          <cell r="B2241" t="str">
            <v>Horeca Smart</v>
          </cell>
          <cell r="C2241" t="str">
            <v xml:space="preserve">عملاء كاش </v>
          </cell>
          <cell r="D2241" t="str">
            <v>Naden Amgad</v>
          </cell>
        </row>
        <row r="2242">
          <cell r="A2242" t="str">
            <v>شاورما السلطان</v>
          </cell>
          <cell r="B2242" t="str">
            <v>Horeca Smart</v>
          </cell>
          <cell r="C2242" t="str">
            <v xml:space="preserve">عملاء كاش </v>
          </cell>
          <cell r="D2242" t="str">
            <v>Lames Magdy</v>
          </cell>
        </row>
        <row r="2243">
          <cell r="A2243" t="str">
            <v>شاورما حسن</v>
          </cell>
          <cell r="B2243" t="str">
            <v>Horeca Smart</v>
          </cell>
          <cell r="C2243" t="str">
            <v xml:space="preserve">عملاء كاش </v>
          </cell>
          <cell r="D2243" t="str">
            <v>Lames Magdy</v>
          </cell>
        </row>
        <row r="2244">
          <cell r="A2244" t="str">
            <v>شاورما-تك</v>
          </cell>
          <cell r="B2244" t="str">
            <v>Horeca Smart</v>
          </cell>
          <cell r="C2244" t="str">
            <v xml:space="preserve">عملاء كاش </v>
          </cell>
          <cell r="D2244" t="str">
            <v>Naden Amgad</v>
          </cell>
        </row>
        <row r="2245">
          <cell r="A2245" t="str">
            <v>شبانة</v>
          </cell>
          <cell r="C2245" t="str">
            <v xml:space="preserve">عملاء كاش </v>
          </cell>
        </row>
        <row r="2246">
          <cell r="A2246" t="str">
            <v>شبراوي -المعادي</v>
          </cell>
          <cell r="B2246" t="str">
            <v>Horeca Smart</v>
          </cell>
          <cell r="C2246" t="str">
            <v xml:space="preserve">عملاء كاش </v>
          </cell>
          <cell r="D2246" t="str">
            <v>Naden Amgad</v>
          </cell>
        </row>
        <row r="2247">
          <cell r="A2247" t="str">
            <v>شبعها</v>
          </cell>
          <cell r="B2247" t="str">
            <v>Horeca Smart</v>
          </cell>
          <cell r="C2247" t="str">
            <v xml:space="preserve">عملاء كاش </v>
          </cell>
          <cell r="D2247" t="str">
            <v>Naden Amgad</v>
          </cell>
        </row>
        <row r="2248">
          <cell r="A2248" t="str">
            <v>شرقي النجاح</v>
          </cell>
          <cell r="B2248" t="str">
            <v>Horeca Smart</v>
          </cell>
          <cell r="C2248" t="str">
            <v xml:space="preserve">عملاء كاش </v>
          </cell>
          <cell r="D2248" t="str">
            <v>Donia Khaled</v>
          </cell>
        </row>
        <row r="2249">
          <cell r="A2249" t="str">
            <v>شركة HWS</v>
          </cell>
          <cell r="B2249" t="str">
            <v>Horeca Smart</v>
          </cell>
          <cell r="C2249" t="str">
            <v xml:space="preserve">عملاء كاش </v>
          </cell>
          <cell r="D2249" t="str">
            <v>Naden Amgad</v>
          </cell>
        </row>
        <row r="2250">
          <cell r="A2250" t="str">
            <v>شركة Sth</v>
          </cell>
          <cell r="B2250" t="str">
            <v>Horeca Smart</v>
          </cell>
          <cell r="C2250" t="str">
            <v xml:space="preserve">عملاء كاش </v>
          </cell>
          <cell r="D2250" t="str">
            <v>Naden Amgad</v>
          </cell>
        </row>
        <row r="2251">
          <cell r="A2251" t="str">
            <v>شركة chocolate</v>
          </cell>
          <cell r="B2251" t="str">
            <v>Horeca Smart</v>
          </cell>
          <cell r="C2251" t="str">
            <v xml:space="preserve">عملاء كاش </v>
          </cell>
          <cell r="D2251" t="str">
            <v>Lames Magdy</v>
          </cell>
        </row>
        <row r="2252">
          <cell r="A2252" t="str">
            <v>شركة أجيد</v>
          </cell>
          <cell r="B2252" t="str">
            <v>MAS</v>
          </cell>
          <cell r="C2252" t="str">
            <v xml:space="preserve">عملاء كاش </v>
          </cell>
          <cell r="D2252" t="str">
            <v>Haddil Haron</v>
          </cell>
        </row>
        <row r="2253">
          <cell r="A2253" t="str">
            <v>شركة أنفستمينت جيت للإستيراد</v>
          </cell>
          <cell r="B2253" t="str">
            <v>MAS</v>
          </cell>
          <cell r="C2253" t="str">
            <v xml:space="preserve">عملاء كاش </v>
          </cell>
          <cell r="D2253" t="str">
            <v>Haddil Haron</v>
          </cell>
        </row>
        <row r="2254">
          <cell r="A2254" t="str">
            <v>شركة اتش اند جي</v>
          </cell>
          <cell r="B2254" t="str">
            <v>Horeca Smart</v>
          </cell>
          <cell r="C2254" t="str">
            <v xml:space="preserve">عملاء كاش </v>
          </cell>
          <cell r="D2254" t="str">
            <v>Naden Amgad</v>
          </cell>
        </row>
        <row r="2255">
          <cell r="A2255" t="str">
            <v>شركة ارضنا - هليوبوليس (Easy cafe)</v>
          </cell>
          <cell r="B2255" t="str">
            <v>Horeca Smart</v>
          </cell>
          <cell r="C2255" t="str">
            <v xml:space="preserve">عملاء كاش </v>
          </cell>
          <cell r="D2255" t="str">
            <v>Naden Amgad</v>
          </cell>
        </row>
        <row r="2256">
          <cell r="A2256" t="str">
            <v>شركة البدر</v>
          </cell>
          <cell r="B2256" t="str">
            <v>Horeca Smart</v>
          </cell>
          <cell r="C2256" t="str">
            <v xml:space="preserve">عملاء كاش </v>
          </cell>
          <cell r="D2256" t="str">
            <v>Naden Amgad</v>
          </cell>
        </row>
        <row r="2257">
          <cell r="A2257" t="str">
            <v>شركة التيسير (شاى العروسة)</v>
          </cell>
          <cell r="B2257" t="str">
            <v>Horeca Smart</v>
          </cell>
          <cell r="C2257" t="str">
            <v>موردين كاش</v>
          </cell>
          <cell r="D2257" t="str">
            <v>Amgad Ahmed</v>
          </cell>
        </row>
        <row r="2258">
          <cell r="A2258" t="str">
            <v>شركة التيسير للتوريدات العموميه</v>
          </cell>
          <cell r="B2258" t="str">
            <v>Horeca Smart</v>
          </cell>
          <cell r="C2258" t="str">
            <v xml:space="preserve">عملاء كاش </v>
          </cell>
          <cell r="D2258" t="str">
            <v>Shorouk khaled</v>
          </cell>
        </row>
        <row r="2259">
          <cell r="A2259" t="str">
            <v>شركة التيسير لمعدات االمطاعم -مدينة نصر</v>
          </cell>
          <cell r="B2259" t="str">
            <v>Horeca Smart</v>
          </cell>
          <cell r="C2259" t="str">
            <v xml:space="preserve">عملاء كاش </v>
          </cell>
          <cell r="D2259" t="str">
            <v>Donia Khaled</v>
          </cell>
        </row>
        <row r="2260">
          <cell r="A2260" t="str">
            <v>شركة الجابري للاستيراد والتصدير</v>
          </cell>
          <cell r="B2260" t="str">
            <v>Horeca Smart</v>
          </cell>
          <cell r="C2260" t="str">
            <v xml:space="preserve">عملاء كاش </v>
          </cell>
          <cell r="D2260" t="str">
            <v>Naden Amgad</v>
          </cell>
        </row>
        <row r="2261">
          <cell r="A2261" t="str">
            <v>شركة الحسن والعزة</v>
          </cell>
          <cell r="B2261" t="str">
            <v>Horeca Smart</v>
          </cell>
          <cell r="C2261" t="str">
            <v xml:space="preserve">عملاء كاش </v>
          </cell>
          <cell r="D2261" t="str">
            <v>Lames Magdy</v>
          </cell>
        </row>
        <row r="2262">
          <cell r="A2262" t="str">
            <v>شركة الخبرة ( كاترينج)</v>
          </cell>
          <cell r="B2262" t="str">
            <v>Horeca Smart</v>
          </cell>
          <cell r="C2262" t="str">
            <v xml:space="preserve">عملاء كاش </v>
          </cell>
          <cell r="D2262" t="str">
            <v>Naden Amgad</v>
          </cell>
        </row>
        <row r="2263">
          <cell r="A2263" t="str">
            <v>شركة الخليل للتوريدات</v>
          </cell>
          <cell r="B2263" t="str">
            <v>MAS</v>
          </cell>
          <cell r="C2263" t="str">
            <v>موردين كاش</v>
          </cell>
          <cell r="D2263" t="str">
            <v>Amgad Ahmed</v>
          </cell>
        </row>
        <row r="2264">
          <cell r="A2264" t="str">
            <v>شركة الدره للسياحة</v>
          </cell>
          <cell r="B2264" t="str">
            <v>Horeca Smart</v>
          </cell>
          <cell r="C2264" t="str">
            <v xml:space="preserve">عملاء كاش </v>
          </cell>
          <cell r="D2264" t="str">
            <v>Donia Khaled</v>
          </cell>
        </row>
        <row r="2265">
          <cell r="A2265" t="str">
            <v>شركة السلام - خالد خشاله</v>
          </cell>
          <cell r="B2265" t="str">
            <v>Horeca Smart</v>
          </cell>
          <cell r="C2265" t="str">
            <v xml:space="preserve">عملاء كاش </v>
          </cell>
          <cell r="D2265" t="str">
            <v>Donia Khaled</v>
          </cell>
        </row>
        <row r="2266">
          <cell r="A2266" t="str">
            <v>شركة الصفا للتعبئة والتغليف والتوريدات العمومية</v>
          </cell>
          <cell r="B2266" t="str">
            <v>Horeca Smart</v>
          </cell>
          <cell r="C2266" t="str">
            <v>موردين كاش</v>
          </cell>
          <cell r="D2266" t="str">
            <v>Amgad Ahmed</v>
          </cell>
        </row>
        <row r="2267">
          <cell r="A2267" t="str">
            <v>شركة الضحى للصناعات الغذائية</v>
          </cell>
          <cell r="B2267" t="str">
            <v>Horeca Smart</v>
          </cell>
          <cell r="C2267" t="str">
            <v>موردين كاش</v>
          </cell>
          <cell r="D2267" t="str">
            <v>Amgad Ahmed</v>
          </cell>
        </row>
        <row r="2268">
          <cell r="A2268" t="str">
            <v>شركة العبد للتوريدات</v>
          </cell>
          <cell r="B2268" t="str">
            <v>Horeca Smart</v>
          </cell>
          <cell r="C2268" t="str">
            <v xml:space="preserve">عملاء كاش </v>
          </cell>
          <cell r="D2268" t="str">
            <v>Naden Amgad</v>
          </cell>
        </row>
        <row r="2269">
          <cell r="A2269" t="str">
            <v>شركة اللؤلؤ للتجارة و التوريدات</v>
          </cell>
          <cell r="B2269" t="str">
            <v>Horeca Smart</v>
          </cell>
          <cell r="C2269" t="str">
            <v xml:space="preserve">عملاء كاش </v>
          </cell>
          <cell r="D2269" t="str">
            <v>Lames Magdy</v>
          </cell>
        </row>
        <row r="2270">
          <cell r="A2270" t="str">
            <v>شركة المستقبل (عميل- مورد)</v>
          </cell>
          <cell r="B2270" t="str">
            <v>MAS</v>
          </cell>
          <cell r="C2270" t="str">
            <v>عميل - مورد</v>
          </cell>
          <cell r="D2270" t="str">
            <v>Naden Amgad</v>
          </cell>
        </row>
        <row r="2271">
          <cell r="A2271" t="str">
            <v>شركة الملكة للصناعات الغذائية</v>
          </cell>
          <cell r="B2271" t="str">
            <v>MAS</v>
          </cell>
          <cell r="C2271" t="str">
            <v xml:space="preserve">موردين اجل </v>
          </cell>
          <cell r="D2271" t="str">
            <v>Amgad Ahmed</v>
          </cell>
        </row>
        <row r="2272">
          <cell r="A2272" t="str">
            <v>شركة المودة للتوريدات</v>
          </cell>
          <cell r="B2272" t="str">
            <v>Horeca Smart</v>
          </cell>
          <cell r="C2272" t="str">
            <v xml:space="preserve">عملاء كاش </v>
          </cell>
          <cell r="D2272" t="str">
            <v>Naden Amgad</v>
          </cell>
        </row>
        <row r="2273">
          <cell r="A2273" t="str">
            <v>شركة الندي (محمد عبدالرحيم)</v>
          </cell>
          <cell r="B2273" t="str">
            <v>MAS</v>
          </cell>
          <cell r="C2273" t="str">
            <v>موردين كاش</v>
          </cell>
          <cell r="D2273" t="str">
            <v>Amgad Ahmed</v>
          </cell>
        </row>
        <row r="2274">
          <cell r="A2274" t="str">
            <v>شركة الهدي - المخزن</v>
          </cell>
          <cell r="B2274" t="str">
            <v>Horeca Smart</v>
          </cell>
          <cell r="C2274" t="str">
            <v xml:space="preserve">عملاء كاش </v>
          </cell>
          <cell r="D2274" t="str">
            <v>Naden Amgad</v>
          </cell>
        </row>
        <row r="2275">
          <cell r="A2275" t="str">
            <v>شركة الولاء للمقاولات</v>
          </cell>
          <cell r="B2275" t="str">
            <v>Horeca Smart</v>
          </cell>
          <cell r="C2275" t="str">
            <v xml:space="preserve">عملاء كاش </v>
          </cell>
          <cell r="D2275" t="str">
            <v>Lames Magdy</v>
          </cell>
        </row>
        <row r="2276">
          <cell r="A2276" t="str">
            <v>شركة انفراد لإدارة المطاعم والكافيهات</v>
          </cell>
          <cell r="B2276" t="str">
            <v>Horeca Smart</v>
          </cell>
          <cell r="C2276" t="str">
            <v xml:space="preserve">عملاء كاش </v>
          </cell>
          <cell r="D2276" t="str">
            <v>Lames Magdy</v>
          </cell>
        </row>
        <row r="2277">
          <cell r="A2277" t="str">
            <v>شركة اووه</v>
          </cell>
          <cell r="B2277" t="str">
            <v>Horeca Smart</v>
          </cell>
          <cell r="C2277" t="str">
            <v>موردين كاش</v>
          </cell>
          <cell r="D2277" t="str">
            <v>Amgad Ahmed</v>
          </cell>
        </row>
        <row r="2278">
          <cell r="A2278" t="str">
            <v>شركة ايرو انجليز كاترينج</v>
          </cell>
          <cell r="B2278" t="str">
            <v>Horeca Smart</v>
          </cell>
          <cell r="C2278" t="str">
            <v xml:space="preserve">عملاء كاش </v>
          </cell>
          <cell r="D2278" t="str">
            <v>Naden Amgad</v>
          </cell>
        </row>
        <row r="2279">
          <cell r="A2279" t="str">
            <v>شركة باب البحر التوريدات العمومية</v>
          </cell>
          <cell r="B2279" t="str">
            <v>Horeca Smart</v>
          </cell>
          <cell r="C2279" t="str">
            <v xml:space="preserve">عملاء كاش </v>
          </cell>
          <cell r="D2279" t="str">
            <v>Naden Amgad</v>
          </cell>
        </row>
        <row r="2280">
          <cell r="A2280" t="str">
            <v>شركة بيج كولا</v>
          </cell>
          <cell r="B2280" t="str">
            <v>Horeca Smart</v>
          </cell>
          <cell r="C2280" t="str">
            <v>موردين كاش</v>
          </cell>
          <cell r="D2280" t="str">
            <v>Amgad Ahmed</v>
          </cell>
        </row>
        <row r="2281">
          <cell r="A2281" t="str">
            <v>شركة تجدد</v>
          </cell>
          <cell r="B2281" t="str">
            <v>Horeca Smart</v>
          </cell>
          <cell r="C2281" t="str">
            <v xml:space="preserve">عملاء كاش </v>
          </cell>
          <cell r="D2281" t="str">
            <v>Naden Amgad</v>
          </cell>
        </row>
        <row r="2282">
          <cell r="A2282" t="str">
            <v>شركة تخزين للخدمات اللوجيستية</v>
          </cell>
          <cell r="B2282" t="str">
            <v>MAS</v>
          </cell>
          <cell r="C2282" t="str">
            <v>عملاء اجل</v>
          </cell>
          <cell r="D2282" t="str">
            <v>Haddil Haron</v>
          </cell>
        </row>
        <row r="2283">
          <cell r="A2283" t="str">
            <v>شركة ترايديفي للتجارة</v>
          </cell>
          <cell r="B2283" t="str">
            <v>Horeca Smart</v>
          </cell>
          <cell r="C2283" t="str">
            <v xml:space="preserve">عملاء كاش </v>
          </cell>
          <cell r="D2283" t="str">
            <v>Naden Amgad</v>
          </cell>
        </row>
        <row r="2284">
          <cell r="A2284" t="str">
            <v>شركة تروس للتوريدات والمقاولات, شركة تروس للتوريدات والمقاولات, شركة تروس للتوريدات والمقاولات - حلوان</v>
          </cell>
          <cell r="B2284" t="str">
            <v>Horeca Smart</v>
          </cell>
          <cell r="C2284" t="str">
            <v xml:space="preserve">عملاء كاش </v>
          </cell>
          <cell r="D2284" t="str">
            <v>Lames Magdy</v>
          </cell>
        </row>
        <row r="2285">
          <cell r="A2285" t="str">
            <v>شركة توريدات العمدة</v>
          </cell>
          <cell r="B2285" t="str">
            <v>Horeca Smart</v>
          </cell>
          <cell r="C2285" t="str">
            <v xml:space="preserve">عملاء كاش </v>
          </cell>
          <cell r="D2285" t="str">
            <v>Donia Khaled</v>
          </cell>
        </row>
        <row r="2286">
          <cell r="A2286" t="str">
            <v>شركة توريداتHarb</v>
          </cell>
          <cell r="B2286" t="str">
            <v>Horeca Smart</v>
          </cell>
          <cell r="C2286" t="str">
            <v xml:space="preserve">عملاء كاش </v>
          </cell>
          <cell r="D2286" t="str">
            <v>Naden Amgad</v>
          </cell>
        </row>
        <row r="2287">
          <cell r="A2287" t="str">
            <v>شركة جولدن تشيز</v>
          </cell>
          <cell r="C2287" t="str">
            <v>موردين كاش</v>
          </cell>
          <cell r="D2287" t="str">
            <v>Amgad Ahmed</v>
          </cell>
        </row>
        <row r="2288">
          <cell r="A2288" t="str">
            <v>شركة جيت, شركة جيت, اكتوبر</v>
          </cell>
          <cell r="B2288" t="str">
            <v>MAS</v>
          </cell>
          <cell r="C2288" t="str">
            <v xml:space="preserve">عملاء كاش </v>
          </cell>
          <cell r="D2288" t="str">
            <v>Haddil Haron</v>
          </cell>
        </row>
        <row r="2289">
          <cell r="A2289" t="str">
            <v>شركة جيت, شركة جيت, النزهة</v>
          </cell>
          <cell r="B2289" t="str">
            <v>MAS</v>
          </cell>
          <cell r="C2289" t="str">
            <v xml:space="preserve">عملاء كاش </v>
          </cell>
          <cell r="D2289" t="str">
            <v>Rasha Hassan</v>
          </cell>
        </row>
        <row r="2290">
          <cell r="A2290" t="str">
            <v>شركة رسلان للاستيراد والتصدير</v>
          </cell>
          <cell r="C2290" t="str">
            <v>موردين كاش</v>
          </cell>
          <cell r="D2290" t="str">
            <v>Amgad Ahmed</v>
          </cell>
        </row>
        <row r="2291">
          <cell r="A2291" t="str">
            <v>شركة سليوشن</v>
          </cell>
          <cell r="C2291" t="str">
            <v>موردين كاش</v>
          </cell>
          <cell r="D2291" t="str">
            <v>Amgad Ahmed</v>
          </cell>
        </row>
        <row r="2292">
          <cell r="A2292" t="str">
            <v>شركة سيفتي بوت - ابوعوف</v>
          </cell>
          <cell r="B2292" t="str">
            <v>Horeca Smart</v>
          </cell>
          <cell r="C2292" t="str">
            <v>موردين كاش</v>
          </cell>
          <cell r="D2292" t="str">
            <v>Amgad Ahmed</v>
          </cell>
        </row>
        <row r="2293">
          <cell r="A2293" t="str">
            <v>شركة فالكون</v>
          </cell>
          <cell r="B2293" t="str">
            <v>Horeca Smart</v>
          </cell>
          <cell r="C2293" t="str">
            <v xml:space="preserve">عملاء كاش </v>
          </cell>
          <cell r="D2293" t="str">
            <v>Lames Magdy</v>
          </cell>
        </row>
        <row r="2294">
          <cell r="A2294" t="str">
            <v>شركة فورشن للضيافة</v>
          </cell>
          <cell r="B2294" t="str">
            <v>Horeca Smart</v>
          </cell>
          <cell r="C2294" t="str">
            <v xml:space="preserve">عملاء كاش </v>
          </cell>
          <cell r="D2294" t="str">
            <v>Donia Khaled</v>
          </cell>
        </row>
        <row r="2295">
          <cell r="A2295" t="str">
            <v>شركة فيجى الدولية</v>
          </cell>
          <cell r="B2295" t="str">
            <v>Horeca Smart</v>
          </cell>
          <cell r="C2295" t="str">
            <v xml:space="preserve">عملاء كاش </v>
          </cell>
          <cell r="D2295" t="str">
            <v>Donia Khaled</v>
          </cell>
        </row>
        <row r="2296">
          <cell r="A2296" t="str">
            <v>شركة كابيتال اجرو للاستيراد والتصدير</v>
          </cell>
          <cell r="B2296" t="str">
            <v>Horeca Smart</v>
          </cell>
          <cell r="C2296" t="str">
            <v xml:space="preserve">عملاء كاش </v>
          </cell>
          <cell r="D2296" t="str">
            <v>Naden Amgad</v>
          </cell>
        </row>
        <row r="2297">
          <cell r="A2297" t="str">
            <v>شركة كليوباترا فود</v>
          </cell>
          <cell r="B2297" t="str">
            <v>Horeca Smart</v>
          </cell>
          <cell r="C2297" t="str">
            <v xml:space="preserve">عملاء كاش </v>
          </cell>
          <cell r="D2297" t="str">
            <v>Naden Amgad</v>
          </cell>
        </row>
        <row r="2298">
          <cell r="A2298" t="str">
            <v>شركة كواترو</v>
          </cell>
          <cell r="B2298" t="str">
            <v>MAS</v>
          </cell>
          <cell r="C2298" t="str">
            <v>موردين كاش</v>
          </cell>
          <cell r="D2298" t="str">
            <v>Amgad Ahmed</v>
          </cell>
        </row>
        <row r="2299">
          <cell r="A2299" t="str">
            <v>شركة كيتشن ربابليك</v>
          </cell>
          <cell r="B2299" t="str">
            <v>Horeca Smart</v>
          </cell>
          <cell r="C2299" t="str">
            <v xml:space="preserve">عملاء كاش </v>
          </cell>
          <cell r="D2299" t="str">
            <v>Naden Amgad</v>
          </cell>
        </row>
        <row r="2300">
          <cell r="A2300" t="str">
            <v>شركة مصر الامارات</v>
          </cell>
          <cell r="C2300" t="str">
            <v>موردين كاش</v>
          </cell>
          <cell r="D2300" t="str">
            <v>Amgad Ahmed</v>
          </cell>
        </row>
        <row r="2301">
          <cell r="A2301" t="str">
            <v>شركة مقاولات أومني</v>
          </cell>
          <cell r="B2301" t="str">
            <v>Horeca Smart</v>
          </cell>
          <cell r="C2301" t="str">
            <v xml:space="preserve">عملاء كاش </v>
          </cell>
          <cell r="D2301" t="str">
            <v>Naden Amgad</v>
          </cell>
        </row>
        <row r="2302">
          <cell r="A2302" t="str">
            <v>شركة منتجات مياه مصر ( وابكو ) - مورد</v>
          </cell>
          <cell r="B2302" t="str">
            <v>Horeca Smart</v>
          </cell>
          <cell r="C2302" t="str">
            <v>موردين كاش</v>
          </cell>
          <cell r="D2302" t="str">
            <v>Amgad Ahmed</v>
          </cell>
        </row>
        <row r="2303">
          <cell r="A2303" t="str">
            <v>شركة نور الرحمن مصطفي</v>
          </cell>
          <cell r="B2303" t="str">
            <v>Horeca Smart</v>
          </cell>
          <cell r="C2303" t="str">
            <v xml:space="preserve">عملاء كاش </v>
          </cell>
          <cell r="D2303" t="str">
            <v>Donia Khaled</v>
          </cell>
        </row>
        <row r="2304">
          <cell r="A2304" t="str">
            <v>شركة هيرو للصناعات الغذائية</v>
          </cell>
          <cell r="B2304" t="str">
            <v>Horeca Smart</v>
          </cell>
          <cell r="C2304" t="str">
            <v>موردين كاش</v>
          </cell>
          <cell r="D2304" t="str">
            <v>Amgad Ahmed</v>
          </cell>
        </row>
        <row r="2305">
          <cell r="A2305" t="str">
            <v>شركه 929</v>
          </cell>
          <cell r="B2305" t="str">
            <v>Horeca Smart</v>
          </cell>
          <cell r="C2305" t="str">
            <v xml:space="preserve">عملاء كاش </v>
          </cell>
          <cell r="D2305" t="str">
            <v>Donia Khaled</v>
          </cell>
        </row>
        <row r="2306">
          <cell r="A2306" t="str">
            <v>شركه أرينا</v>
          </cell>
          <cell r="B2306" t="str">
            <v>Horeca Smart</v>
          </cell>
          <cell r="C2306" t="str">
            <v>موردين كاش</v>
          </cell>
          <cell r="D2306" t="str">
            <v>Amgad Ahmed</v>
          </cell>
        </row>
        <row r="2307">
          <cell r="A2307" t="str">
            <v>شركه الاسراء للتوريدات</v>
          </cell>
          <cell r="B2307" t="str">
            <v>Horeca Smart</v>
          </cell>
          <cell r="C2307" t="str">
            <v xml:space="preserve">عملاء كاش </v>
          </cell>
          <cell r="D2307" t="str">
            <v>Lames Magdy</v>
          </cell>
        </row>
        <row r="2308">
          <cell r="A2308" t="str">
            <v>شركه التوريدات (محمد ماجد) - مدينة نصر</v>
          </cell>
          <cell r="B2308" t="str">
            <v>Horeca Smart</v>
          </cell>
          <cell r="C2308" t="str">
            <v xml:space="preserve">عملاء كاش </v>
          </cell>
          <cell r="D2308" t="str">
            <v>Lames Magdy</v>
          </cell>
        </row>
        <row r="2309">
          <cell r="A2309" t="str">
            <v>شركه الثاقب للتجاره</v>
          </cell>
          <cell r="C2309" t="str">
            <v>موردين كاش</v>
          </cell>
          <cell r="D2309" t="str">
            <v>Amgad Ahmed</v>
          </cell>
        </row>
        <row r="2310">
          <cell r="A2310" t="str">
            <v>شركه الريان للتوريدات</v>
          </cell>
          <cell r="B2310" t="str">
            <v>Horeca Smart</v>
          </cell>
          <cell r="C2310" t="str">
            <v xml:space="preserve">عملاء كاش </v>
          </cell>
          <cell r="D2310" t="str">
            <v>Naden Amgad</v>
          </cell>
        </row>
        <row r="2311">
          <cell r="A2311" t="str">
            <v>شركه الشيخ</v>
          </cell>
          <cell r="B2311" t="str">
            <v>Horeca Smart</v>
          </cell>
          <cell r="C2311" t="str">
            <v xml:space="preserve">عملاء كاش </v>
          </cell>
          <cell r="D2311" t="str">
            <v>Naden Amgad</v>
          </cell>
        </row>
        <row r="2312">
          <cell r="A2312" t="str">
            <v>شركه العيسوى للتوريدات</v>
          </cell>
          <cell r="B2312" t="str">
            <v>Horeca Smart</v>
          </cell>
          <cell r="C2312" t="str">
            <v xml:space="preserve">عملاء كاش </v>
          </cell>
          <cell r="D2312" t="str">
            <v>Naden Amgad</v>
          </cell>
        </row>
        <row r="2313">
          <cell r="A2313" t="str">
            <v>شركه الكرم</v>
          </cell>
          <cell r="B2313" t="str">
            <v>Horeca Smart</v>
          </cell>
          <cell r="C2313" t="str">
            <v xml:space="preserve">عملاء كاش </v>
          </cell>
          <cell r="D2313" t="str">
            <v>Naden Amgad</v>
          </cell>
        </row>
        <row r="2314">
          <cell r="A2314" t="str">
            <v>شركه المستقبل</v>
          </cell>
          <cell r="B2314" t="str">
            <v>Horeca Smart</v>
          </cell>
          <cell r="C2314" t="str">
            <v xml:space="preserve">عملاء كاش </v>
          </cell>
          <cell r="D2314" t="str">
            <v>Naden Amgad</v>
          </cell>
        </row>
        <row r="2315">
          <cell r="A2315" t="str">
            <v>شركه الندي</v>
          </cell>
          <cell r="B2315" t="str">
            <v>Horeca Smart</v>
          </cell>
          <cell r="C2315" t="str">
            <v xml:space="preserve">عملاء كاش </v>
          </cell>
          <cell r="D2315" t="str">
            <v>Donia Khaled</v>
          </cell>
        </row>
        <row r="2316">
          <cell r="A2316" t="str">
            <v>شركه اوفيس كيت للتوريدات</v>
          </cell>
          <cell r="B2316" t="str">
            <v>Horeca Smart</v>
          </cell>
          <cell r="C2316" t="str">
            <v xml:space="preserve">عملاء كاش </v>
          </cell>
          <cell r="D2316" t="str">
            <v>Donia Khaled</v>
          </cell>
        </row>
        <row r="2317">
          <cell r="A2317" t="str">
            <v>شركه بوينت</v>
          </cell>
          <cell r="B2317" t="str">
            <v>Horeca Smart</v>
          </cell>
          <cell r="C2317" t="str">
            <v xml:space="preserve">عملاء كاش </v>
          </cell>
          <cell r="D2317" t="str">
            <v>Naden Amgad</v>
          </cell>
        </row>
        <row r="2318">
          <cell r="A2318" t="str">
            <v>شركه لبنان مصر</v>
          </cell>
          <cell r="B2318" t="str">
            <v>Horeca Smart</v>
          </cell>
          <cell r="C2318" t="str">
            <v xml:space="preserve">عملاء كاش </v>
          </cell>
          <cell r="D2318" t="str">
            <v>Naden Amgad</v>
          </cell>
        </row>
        <row r="2319">
          <cell r="A2319" t="str">
            <v>شركه مطاعم وردة</v>
          </cell>
          <cell r="B2319" t="str">
            <v>Horeca Smart</v>
          </cell>
          <cell r="C2319" t="str">
            <v xml:space="preserve">عملاء كاش </v>
          </cell>
          <cell r="D2319" t="str">
            <v>Naden Amgad</v>
          </cell>
        </row>
        <row r="2320">
          <cell r="A2320" t="str">
            <v>شركه مياركو للخدمات</v>
          </cell>
          <cell r="B2320" t="str">
            <v>Horeca Smart</v>
          </cell>
          <cell r="C2320" t="str">
            <v xml:space="preserve">عملاء كاش </v>
          </cell>
          <cell r="D2320" t="str">
            <v>Naden Amgad</v>
          </cell>
        </row>
        <row r="2321">
          <cell r="A2321" t="str">
            <v>شركه ندا جروب</v>
          </cell>
          <cell r="B2321" t="str">
            <v>Horeca Smart</v>
          </cell>
          <cell r="C2321" t="str">
            <v xml:space="preserve">عملاء كاش </v>
          </cell>
          <cell r="D2321" t="str">
            <v>Shorouk khaled</v>
          </cell>
        </row>
        <row r="2322">
          <cell r="A2322" t="str">
            <v>شركه يثرب لتوزيع المواد الغذائيه - مورد</v>
          </cell>
          <cell r="C2322" t="str">
            <v>موردين كاش</v>
          </cell>
          <cell r="D2322" t="str">
            <v>Amgad Ahmed</v>
          </cell>
        </row>
        <row r="2323">
          <cell r="A2323" t="str">
            <v>شرمب نيشن مصر</v>
          </cell>
          <cell r="B2323" t="str">
            <v>Horeca Smart</v>
          </cell>
          <cell r="C2323" t="str">
            <v xml:space="preserve">عملاء كاش </v>
          </cell>
          <cell r="D2323" t="str">
            <v>Naden Amgad</v>
          </cell>
        </row>
        <row r="2324">
          <cell r="A2324" t="str">
            <v>شمندي-شبرا</v>
          </cell>
          <cell r="B2324" t="str">
            <v>Horeca Smart</v>
          </cell>
          <cell r="C2324" t="str">
            <v xml:space="preserve">عملاء كاش </v>
          </cell>
          <cell r="D2324" t="str">
            <v>Naden Amgad</v>
          </cell>
        </row>
        <row r="2325">
          <cell r="A2325" t="str">
            <v>شهلين shihlin</v>
          </cell>
          <cell r="B2325" t="str">
            <v>Horeca Smart</v>
          </cell>
          <cell r="C2325" t="str">
            <v xml:space="preserve">عملاء كاش </v>
          </cell>
          <cell r="D2325" t="str">
            <v>Naden Amgad</v>
          </cell>
        </row>
        <row r="2326">
          <cell r="A2326" t="str">
            <v>شوايه سمك</v>
          </cell>
          <cell r="B2326" t="str">
            <v>Horeca Smart</v>
          </cell>
          <cell r="C2326" t="str">
            <v xml:space="preserve">عملاء كاش </v>
          </cell>
          <cell r="D2326" t="str">
            <v>Naden Amgad</v>
          </cell>
        </row>
        <row r="2327">
          <cell r="A2327" t="str">
            <v>شوجر آند فلاور</v>
          </cell>
          <cell r="B2327" t="str">
            <v>Horeca Smart</v>
          </cell>
          <cell r="C2327" t="str">
            <v xml:space="preserve">عملاء كاش </v>
          </cell>
          <cell r="D2327" t="str">
            <v>Naden Amgad</v>
          </cell>
        </row>
        <row r="2328">
          <cell r="A2328" t="str">
            <v>شيخ البلد</v>
          </cell>
          <cell r="B2328" t="str">
            <v>Horeca Smart</v>
          </cell>
          <cell r="C2328" t="str">
            <v xml:space="preserve">عملاء كاش </v>
          </cell>
          <cell r="D2328" t="str">
            <v>Donia Khaled</v>
          </cell>
        </row>
        <row r="2329">
          <cell r="A2329" t="str">
            <v>شيخ البيتزا</v>
          </cell>
          <cell r="B2329" t="str">
            <v>Horeca Smart</v>
          </cell>
          <cell r="C2329" t="str">
            <v xml:space="preserve">عملاء كاش </v>
          </cell>
          <cell r="D2329" t="str">
            <v>Lames Magdy</v>
          </cell>
        </row>
        <row r="2330">
          <cell r="A2330" t="str">
            <v>شيخ الطباخين</v>
          </cell>
          <cell r="B2330" t="str">
            <v>Horeca Smart</v>
          </cell>
          <cell r="C2330" t="str">
            <v xml:space="preserve">عملاء كاش </v>
          </cell>
          <cell r="D2330" t="str">
            <v>Naden Amgad</v>
          </cell>
        </row>
        <row r="2331">
          <cell r="A2331" t="str">
            <v>شيخ العرب</v>
          </cell>
          <cell r="B2331" t="str">
            <v>Horeca Smart</v>
          </cell>
          <cell r="C2331" t="str">
            <v xml:space="preserve">عملاء كاش </v>
          </cell>
          <cell r="D2331" t="str">
            <v>Lames Magdy</v>
          </cell>
        </row>
        <row r="2332">
          <cell r="A2332" t="str">
            <v>شيف واي جروب</v>
          </cell>
          <cell r="B2332" t="str">
            <v>Horeca Smart</v>
          </cell>
          <cell r="C2332" t="str">
            <v xml:space="preserve">عملاء كاش </v>
          </cell>
          <cell r="D2332" t="str">
            <v>Naden Amgad</v>
          </cell>
        </row>
        <row r="2333">
          <cell r="A2333" t="str">
            <v>شيما سوشي, شيما سوشي, شيما سوشي - التجمع</v>
          </cell>
          <cell r="B2333" t="str">
            <v>Horeca Smart</v>
          </cell>
          <cell r="C2333" t="str">
            <v xml:space="preserve">عملاء كاش </v>
          </cell>
          <cell r="D2333" t="str">
            <v>Naden Amgad</v>
          </cell>
        </row>
        <row r="2334">
          <cell r="A2334" t="str">
            <v>شيما سوشي, شيما سوشي, شيما سوشي - مدينة نصر</v>
          </cell>
          <cell r="B2334" t="str">
            <v>Horeca Smart</v>
          </cell>
          <cell r="C2334" t="str">
            <v xml:space="preserve">عملاء كاش </v>
          </cell>
          <cell r="D2334" t="str">
            <v>Reham Maher</v>
          </cell>
        </row>
        <row r="2335">
          <cell r="A2335" t="str">
            <v>صاج السمك, صاج السمك, صاج السمك - المنطقة الثامنة</v>
          </cell>
          <cell r="B2335" t="str">
            <v>Horeca Smart</v>
          </cell>
          <cell r="C2335" t="str">
            <v xml:space="preserve">عملاء كاش </v>
          </cell>
          <cell r="D2335" t="str">
            <v>Reham Maher</v>
          </cell>
        </row>
        <row r="2336">
          <cell r="A2336" t="str">
            <v>صاج السمك, صاج السمك, صاج السمك - مدينتي</v>
          </cell>
          <cell r="B2336" t="str">
            <v>Horeca Smart</v>
          </cell>
          <cell r="C2336" t="str">
            <v xml:space="preserve">عملاء كاش </v>
          </cell>
          <cell r="D2336" t="str">
            <v>Reham Maher</v>
          </cell>
        </row>
        <row r="2337">
          <cell r="A2337" t="str">
            <v>صاج بوكس</v>
          </cell>
          <cell r="B2337" t="str">
            <v>Horeca Smart</v>
          </cell>
          <cell r="C2337" t="str">
            <v xml:space="preserve">عملاء كاش </v>
          </cell>
          <cell r="D2337" t="str">
            <v>Naden Amgad</v>
          </cell>
        </row>
        <row r="2338">
          <cell r="A2338" t="str">
            <v>صاج سكر بيروت</v>
          </cell>
          <cell r="B2338" t="str">
            <v>Horeca Smart</v>
          </cell>
          <cell r="C2338" t="str">
            <v xml:space="preserve">عملاء كاش </v>
          </cell>
          <cell r="D2338" t="str">
            <v>Naden Amgad</v>
          </cell>
        </row>
        <row r="2339">
          <cell r="A2339" t="str">
            <v>طاجن</v>
          </cell>
          <cell r="B2339" t="str">
            <v>Horeca Smart</v>
          </cell>
          <cell r="C2339" t="str">
            <v xml:space="preserve">عملاء كاش </v>
          </cell>
          <cell r="D2339" t="str">
            <v>Lames Magdy</v>
          </cell>
        </row>
        <row r="2340">
          <cell r="A2340" t="str">
            <v>طاجن ستو</v>
          </cell>
          <cell r="B2340" t="str">
            <v>Horeca Smart</v>
          </cell>
          <cell r="C2340" t="str">
            <v xml:space="preserve">عملاء كاش </v>
          </cell>
          <cell r="D2340" t="str">
            <v>Lames Magdy</v>
          </cell>
        </row>
        <row r="2341">
          <cell r="A2341" t="str">
            <v>طاسة جملي</v>
          </cell>
          <cell r="B2341" t="str">
            <v>Horeca Smart</v>
          </cell>
          <cell r="C2341" t="str">
            <v xml:space="preserve">عملاء كاش </v>
          </cell>
          <cell r="D2341" t="str">
            <v>Naden Amgad</v>
          </cell>
        </row>
        <row r="2342">
          <cell r="A2342" t="str">
            <v>طاير يا فطاير</v>
          </cell>
          <cell r="B2342" t="str">
            <v>Horeca Smart</v>
          </cell>
          <cell r="C2342" t="str">
            <v xml:space="preserve">عملاء كاش </v>
          </cell>
          <cell r="D2342" t="str">
            <v>Naden Amgad</v>
          </cell>
        </row>
        <row r="2343">
          <cell r="A2343" t="str">
            <v>طلبيات لادارة المطاعم</v>
          </cell>
          <cell r="B2343" t="str">
            <v>Horeca Smart</v>
          </cell>
          <cell r="C2343" t="str">
            <v xml:space="preserve">عملاء كاش </v>
          </cell>
          <cell r="D2343" t="str">
            <v>Naden Amgad</v>
          </cell>
        </row>
        <row r="2344">
          <cell r="A2344" t="str">
            <v>طلعة سمك</v>
          </cell>
          <cell r="B2344" t="str">
            <v>Horeca Smart</v>
          </cell>
          <cell r="C2344" t="str">
            <v xml:space="preserve">عملاء كاش </v>
          </cell>
          <cell r="D2344" t="str">
            <v>Naden Amgad</v>
          </cell>
        </row>
        <row r="2345">
          <cell r="A2345" t="str">
            <v>طه المصري للتوريدات</v>
          </cell>
          <cell r="B2345" t="str">
            <v>MAS</v>
          </cell>
          <cell r="C2345" t="str">
            <v xml:space="preserve">عملاء كاش </v>
          </cell>
          <cell r="D2345" t="str">
            <v>Haddil Haron</v>
          </cell>
        </row>
        <row r="2346">
          <cell r="A2346" t="str">
            <v>ع الناصية</v>
          </cell>
          <cell r="B2346" t="str">
            <v>Horeca Smart</v>
          </cell>
          <cell r="C2346" t="str">
            <v xml:space="preserve">عملاء كاش </v>
          </cell>
          <cell r="D2346" t="str">
            <v>Donia Khaled</v>
          </cell>
        </row>
        <row r="2347">
          <cell r="A2347" t="str">
            <v>عادل بيتزا</v>
          </cell>
          <cell r="B2347" t="str">
            <v>Horeca Smart</v>
          </cell>
          <cell r="C2347" t="str">
            <v xml:space="preserve">عملاء كاش </v>
          </cell>
          <cell r="D2347" t="str">
            <v>Naden Amgad</v>
          </cell>
        </row>
        <row r="2348">
          <cell r="A2348" t="str">
            <v>عاطف الديب</v>
          </cell>
          <cell r="B2348" t="str">
            <v>Horeca Smart</v>
          </cell>
          <cell r="C2348" t="str">
            <v xml:space="preserve">عملاء كاش </v>
          </cell>
          <cell r="D2348" t="str">
            <v>Naden Amgad</v>
          </cell>
        </row>
        <row r="2349">
          <cell r="A2349" t="str">
            <v>عافية</v>
          </cell>
          <cell r="B2349" t="str">
            <v>MAS</v>
          </cell>
          <cell r="C2349" t="str">
            <v xml:space="preserve">موردين اجل </v>
          </cell>
          <cell r="D2349" t="str">
            <v>Amgad Ahmed</v>
          </cell>
        </row>
        <row r="2350">
          <cell r="A2350" t="str">
            <v>عبده الشرقاوي</v>
          </cell>
          <cell r="B2350" t="str">
            <v>Horeca Smart</v>
          </cell>
          <cell r="C2350" t="str">
            <v xml:space="preserve">عملاء كاش </v>
          </cell>
          <cell r="D2350" t="str">
            <v>Lames Magdy</v>
          </cell>
        </row>
        <row r="2351">
          <cell r="A2351" t="str">
            <v>عجين و قهوة</v>
          </cell>
          <cell r="B2351" t="str">
            <v>Horeca Smart</v>
          </cell>
          <cell r="C2351" t="str">
            <v xml:space="preserve">عملاء كاش </v>
          </cell>
          <cell r="D2351" t="str">
            <v>Lames Magdy</v>
          </cell>
        </row>
        <row r="2352">
          <cell r="A2352" t="str">
            <v>عرب ديري باندا</v>
          </cell>
          <cell r="B2352" t="str">
            <v>MAS</v>
          </cell>
          <cell r="C2352" t="str">
            <v>موردين كاش</v>
          </cell>
          <cell r="D2352" t="str">
            <v>Amgad Ahmed</v>
          </cell>
        </row>
        <row r="2353">
          <cell r="A2353" t="str">
            <v>عز الشام</v>
          </cell>
          <cell r="B2353" t="str">
            <v>Horeca Smart</v>
          </cell>
          <cell r="C2353" t="str">
            <v xml:space="preserve">عملاء كاش </v>
          </cell>
          <cell r="D2353" t="str">
            <v>Naden Amgad</v>
          </cell>
        </row>
        <row r="2354">
          <cell r="A2354" t="str">
            <v>عزوز للمأكولات البحرية - المخزن</v>
          </cell>
          <cell r="B2354" t="str">
            <v>Horeca Smart</v>
          </cell>
          <cell r="C2354" t="str">
            <v xml:space="preserve">عملاء كاش </v>
          </cell>
          <cell r="D2354" t="str">
            <v>Donia Khaled</v>
          </cell>
        </row>
        <row r="2355">
          <cell r="A2355" t="str">
            <v>عشاق السمك</v>
          </cell>
          <cell r="B2355" t="str">
            <v>Horeca Smart</v>
          </cell>
          <cell r="C2355" t="str">
            <v xml:space="preserve">عملاء كاش </v>
          </cell>
          <cell r="D2355" t="str">
            <v>Naden Amgad</v>
          </cell>
        </row>
        <row r="2356">
          <cell r="A2356" t="str">
            <v>عصائر أيس ميكس</v>
          </cell>
          <cell r="B2356" t="str">
            <v>Horeca Smart</v>
          </cell>
          <cell r="C2356" t="str">
            <v xml:space="preserve">عملاء كاش </v>
          </cell>
          <cell r="D2356" t="str">
            <v>Naden Amgad</v>
          </cell>
        </row>
        <row r="2357">
          <cell r="A2357" t="str">
            <v>عصائر ابو زكري- باب الشعرية</v>
          </cell>
          <cell r="B2357" t="str">
            <v>Horeca Smart</v>
          </cell>
          <cell r="C2357" t="str">
            <v xml:space="preserve">عملاء كاش </v>
          </cell>
          <cell r="D2357" t="str">
            <v>Lames Magdy</v>
          </cell>
        </row>
        <row r="2358">
          <cell r="A2358" t="str">
            <v>عصائر افو كادو</v>
          </cell>
          <cell r="B2358" t="str">
            <v>Horeca Smart</v>
          </cell>
          <cell r="C2358" t="str">
            <v xml:space="preserve">عملاء كاش </v>
          </cell>
          <cell r="D2358" t="str">
            <v>Donia Khaled</v>
          </cell>
        </row>
        <row r="2359">
          <cell r="A2359" t="str">
            <v>عصائر الحرمين</v>
          </cell>
          <cell r="B2359" t="str">
            <v>Horeca Smart</v>
          </cell>
          <cell r="C2359" t="str">
            <v xml:space="preserve">عملاء كاش </v>
          </cell>
          <cell r="D2359" t="str">
            <v>Lames Magdy</v>
          </cell>
        </row>
        <row r="2360">
          <cell r="A2360" t="str">
            <v>عصائر الحريه</v>
          </cell>
          <cell r="B2360" t="str">
            <v>Horeca Smart</v>
          </cell>
          <cell r="C2360" t="str">
            <v xml:space="preserve">عملاء كاش </v>
          </cell>
          <cell r="D2360" t="str">
            <v>Lames Magdy</v>
          </cell>
        </row>
        <row r="2361">
          <cell r="A2361" t="str">
            <v>عصائر العبيط</v>
          </cell>
          <cell r="B2361" t="str">
            <v>Horeca Smart</v>
          </cell>
          <cell r="C2361" t="str">
            <v xml:space="preserve">عملاء كاش </v>
          </cell>
          <cell r="D2361" t="str">
            <v>Lames Magdy</v>
          </cell>
        </row>
        <row r="2362">
          <cell r="A2362" t="str">
            <v>عصائر العربى - المنيب</v>
          </cell>
          <cell r="B2362" t="str">
            <v>Horeca Smart</v>
          </cell>
          <cell r="C2362" t="str">
            <v xml:space="preserve">عملاء كاش </v>
          </cell>
          <cell r="D2362" t="str">
            <v>Naden Amgad</v>
          </cell>
        </row>
        <row r="2363">
          <cell r="A2363" t="str">
            <v>عصائر العربى - مصر الجديدة</v>
          </cell>
          <cell r="B2363" t="str">
            <v>Horeca Smart</v>
          </cell>
          <cell r="C2363" t="str">
            <v xml:space="preserve">عملاء كاش </v>
          </cell>
          <cell r="D2363" t="str">
            <v>Donia Khaled</v>
          </cell>
        </row>
        <row r="2364">
          <cell r="A2364" t="str">
            <v>عصائر القبيصي, عصائر القبيصي, عصائر القبيصي - التجمع</v>
          </cell>
          <cell r="B2364" t="str">
            <v>Horeca Smart</v>
          </cell>
          <cell r="C2364" t="str">
            <v xml:space="preserve">عملاء كاش </v>
          </cell>
          <cell r="D2364" t="str">
            <v>Lames Magdy</v>
          </cell>
        </row>
        <row r="2365">
          <cell r="A2365" t="str">
            <v>عصائر القبيصي, عصائر القبيصي, عصائر القبيصي - مدينة نصر</v>
          </cell>
          <cell r="B2365" t="str">
            <v>Horeca Smart</v>
          </cell>
          <cell r="C2365" t="str">
            <v xml:space="preserve">عملاء كاش </v>
          </cell>
          <cell r="D2365" t="str">
            <v>Lames Magdy</v>
          </cell>
        </row>
        <row r="2366">
          <cell r="A2366" t="str">
            <v>عصائر القبيصي, عصائر القبيصي, عصائر القبيصي - مصر الجديدة</v>
          </cell>
          <cell r="B2366" t="str">
            <v>Horeca Smart</v>
          </cell>
          <cell r="C2366" t="str">
            <v xml:space="preserve">عملاء كاش </v>
          </cell>
          <cell r="D2366" t="str">
            <v>Lames Magdy</v>
          </cell>
        </row>
        <row r="2367">
          <cell r="A2367" t="str">
            <v>عصائر المأمون</v>
          </cell>
          <cell r="B2367" t="str">
            <v>Horeca Smart</v>
          </cell>
          <cell r="C2367" t="str">
            <v xml:space="preserve">عملاء كاش </v>
          </cell>
          <cell r="D2367" t="str">
            <v>Donia Khaled</v>
          </cell>
        </row>
        <row r="2368">
          <cell r="A2368" t="str">
            <v>عصائر المعلم</v>
          </cell>
          <cell r="B2368" t="str">
            <v>Horeca Smart</v>
          </cell>
          <cell r="C2368" t="str">
            <v xml:space="preserve">عملاء كاش </v>
          </cell>
          <cell r="D2368" t="str">
            <v>Donia Khaled</v>
          </cell>
        </row>
        <row r="2369">
          <cell r="A2369" t="str">
            <v>عصائر اولاد ابو ياسر</v>
          </cell>
          <cell r="B2369" t="str">
            <v>Horeca Smart</v>
          </cell>
          <cell r="C2369" t="str">
            <v xml:space="preserve">عملاء كاش </v>
          </cell>
          <cell r="D2369" t="str">
            <v>Donia Khaled</v>
          </cell>
        </row>
        <row r="2370">
          <cell r="A2370" t="str">
            <v>عصائر اولاد الشيخ</v>
          </cell>
          <cell r="B2370" t="str">
            <v>Horeca Smart</v>
          </cell>
          <cell r="C2370" t="str">
            <v xml:space="preserve">عملاء كاش </v>
          </cell>
          <cell r="D2370" t="str">
            <v>Naden Amgad</v>
          </cell>
        </row>
        <row r="2371">
          <cell r="A2371" t="str">
            <v>عصائر اولاد ناصر</v>
          </cell>
          <cell r="B2371" t="str">
            <v>Horeca Smart</v>
          </cell>
          <cell r="C2371" t="str">
            <v xml:space="preserve">عملاء كاش </v>
          </cell>
          <cell r="D2371" t="str">
            <v>Lames Magdy</v>
          </cell>
        </row>
        <row r="2372">
          <cell r="A2372" t="str">
            <v>عصائر اولاد ناصر -العمرانية</v>
          </cell>
          <cell r="B2372" t="str">
            <v>Horeca Smart</v>
          </cell>
          <cell r="C2372" t="str">
            <v xml:space="preserve">عملاء كاش </v>
          </cell>
          <cell r="D2372" t="str">
            <v>Naden Amgad</v>
          </cell>
        </row>
        <row r="2373">
          <cell r="A2373" t="str">
            <v>عصائر اولاد نعمان</v>
          </cell>
          <cell r="B2373" t="str">
            <v>Horeca Smart</v>
          </cell>
          <cell r="C2373" t="str">
            <v xml:space="preserve">عملاء كاش </v>
          </cell>
          <cell r="D2373" t="str">
            <v>Reham Maher</v>
          </cell>
        </row>
        <row r="2374">
          <cell r="A2374" t="str">
            <v>عصائر بركة</v>
          </cell>
          <cell r="B2374" t="str">
            <v>Horeca Smart</v>
          </cell>
          <cell r="C2374" t="str">
            <v xml:space="preserve">عملاء كاش </v>
          </cell>
          <cell r="D2374" t="str">
            <v>Reham Maher</v>
          </cell>
        </row>
        <row r="2375">
          <cell r="A2375" t="str">
            <v>عصائر جوهرة الملكة</v>
          </cell>
          <cell r="B2375" t="str">
            <v>Horeca Smart</v>
          </cell>
          <cell r="C2375" t="str">
            <v xml:space="preserve">عملاء كاش </v>
          </cell>
          <cell r="D2375" t="str">
            <v>Naden Amgad</v>
          </cell>
        </row>
        <row r="2376">
          <cell r="A2376" t="str">
            <v>عصائر سموزي</v>
          </cell>
          <cell r="B2376" t="str">
            <v>Horeca Smart</v>
          </cell>
          <cell r="C2376" t="str">
            <v xml:space="preserve">عملاء كاش </v>
          </cell>
          <cell r="D2376" t="str">
            <v>Donia Khaled</v>
          </cell>
        </row>
        <row r="2377">
          <cell r="A2377" t="str">
            <v>عصائر سيتي درينك - مدينة نصر</v>
          </cell>
          <cell r="B2377" t="str">
            <v>Horeca Smart</v>
          </cell>
          <cell r="C2377" t="str">
            <v xml:space="preserve">عملاء كاش </v>
          </cell>
          <cell r="D2377" t="str">
            <v>Lames Magdy</v>
          </cell>
        </row>
        <row r="2378">
          <cell r="A2378" t="str">
            <v>عصائر شيراتون</v>
          </cell>
          <cell r="B2378" t="str">
            <v>Horeca Smart</v>
          </cell>
          <cell r="C2378" t="str">
            <v xml:space="preserve">عملاء كاش </v>
          </cell>
          <cell r="D2378" t="str">
            <v>Donia Khaled</v>
          </cell>
        </row>
        <row r="2379">
          <cell r="A2379" t="str">
            <v>عصائر عباد الرحمن</v>
          </cell>
          <cell r="B2379" t="str">
            <v>Horeca Smart</v>
          </cell>
          <cell r="C2379" t="str">
            <v xml:space="preserve">عملاء كاش </v>
          </cell>
          <cell r="D2379" t="str">
            <v>Lames Magdy</v>
          </cell>
        </row>
        <row r="2380">
          <cell r="A2380" t="str">
            <v>عصائر فرغلي - 6اكتوبر</v>
          </cell>
          <cell r="B2380" t="str">
            <v>Horeca Smart</v>
          </cell>
          <cell r="C2380" t="str">
            <v xml:space="preserve">عملاء كاش </v>
          </cell>
          <cell r="D2380" t="str">
            <v>Naden Amgad</v>
          </cell>
        </row>
        <row r="2381">
          <cell r="A2381" t="str">
            <v>عصائر فرغلي - شيراتون</v>
          </cell>
          <cell r="B2381" t="str">
            <v>Horeca Smart</v>
          </cell>
          <cell r="C2381" t="str">
            <v xml:space="preserve">عملاء كاش </v>
          </cell>
          <cell r="D2381" t="str">
            <v>Donia Khaled</v>
          </cell>
        </row>
        <row r="2382">
          <cell r="A2382" t="str">
            <v>عصائر فرغلي - مصر الجديدة</v>
          </cell>
          <cell r="B2382" t="str">
            <v>Horeca Smart</v>
          </cell>
          <cell r="C2382" t="str">
            <v xml:space="preserve">عملاء كاش </v>
          </cell>
          <cell r="D2382" t="str">
            <v>Donia Khaled</v>
          </cell>
        </row>
        <row r="2383">
          <cell r="A2383" t="str">
            <v>عصائر فرغلي -صقر قريش</v>
          </cell>
          <cell r="B2383" t="str">
            <v>Horeca Smart</v>
          </cell>
          <cell r="C2383" t="str">
            <v xml:space="preserve">عملاء كاش </v>
          </cell>
          <cell r="D2383" t="str">
            <v>Lames Magdy</v>
          </cell>
        </row>
        <row r="2384">
          <cell r="A2384" t="str">
            <v>عصائر فرغلي _ النزهة</v>
          </cell>
          <cell r="B2384" t="str">
            <v>Horeca Smart</v>
          </cell>
          <cell r="C2384" t="str">
            <v xml:space="preserve">عملاء كاش </v>
          </cell>
          <cell r="D2384" t="str">
            <v>Lames Magdy</v>
          </cell>
        </row>
        <row r="2385">
          <cell r="A2385" t="str">
            <v>عصائر فرغلي جوس</v>
          </cell>
          <cell r="B2385" t="str">
            <v>Horeca Smart</v>
          </cell>
          <cell r="C2385" t="str">
            <v xml:space="preserve">عملاء كاش </v>
          </cell>
          <cell r="D2385" t="str">
            <v>Donia Khaled</v>
          </cell>
        </row>
        <row r="2386">
          <cell r="A2386" t="str">
            <v>عصائر فرغلي درينك  -مدينة نصر</v>
          </cell>
          <cell r="B2386" t="str">
            <v>Horeca Smart</v>
          </cell>
          <cell r="C2386" t="str">
            <v xml:space="preserve">عملاء كاش </v>
          </cell>
          <cell r="D2386" t="str">
            <v>Reham Maher</v>
          </cell>
        </row>
        <row r="2387">
          <cell r="A2387" t="str">
            <v>عصائر فرغلي درينك - المعادي</v>
          </cell>
          <cell r="B2387" t="str">
            <v>Horeca Smart</v>
          </cell>
          <cell r="C2387" t="str">
            <v xml:space="preserve">عملاء كاش </v>
          </cell>
          <cell r="D2387" t="str">
            <v>Reham Maher</v>
          </cell>
        </row>
        <row r="2388">
          <cell r="A2388" t="str">
            <v>عصائر فرغلي فريش</v>
          </cell>
          <cell r="B2388" t="str">
            <v>Horeca Smart</v>
          </cell>
          <cell r="C2388" t="str">
            <v xml:space="preserve">عملاء كاش </v>
          </cell>
          <cell r="D2388" t="str">
            <v>Donia Khaled</v>
          </cell>
        </row>
        <row r="2389">
          <cell r="A2389" t="str">
            <v>عصائر فرغلي(محسن)</v>
          </cell>
          <cell r="B2389" t="str">
            <v>Horeca Smart</v>
          </cell>
          <cell r="C2389" t="str">
            <v xml:space="preserve">عملاء كاش </v>
          </cell>
          <cell r="D2389" t="str">
            <v>Donia Khaled</v>
          </cell>
        </row>
        <row r="2390">
          <cell r="A2390" t="str">
            <v>عصائر فروت فرغلي -جسر السويس</v>
          </cell>
          <cell r="B2390" t="str">
            <v>Horeca Smart</v>
          </cell>
          <cell r="C2390" t="str">
            <v xml:space="preserve">عملاء كاش </v>
          </cell>
          <cell r="D2390" t="str">
            <v>Donia Khaled</v>
          </cell>
        </row>
        <row r="2391">
          <cell r="A2391" t="str">
            <v>عصائر فروت فرغلي -مدينة نصر</v>
          </cell>
          <cell r="B2391" t="str">
            <v>Horeca Smart</v>
          </cell>
          <cell r="C2391" t="str">
            <v xml:space="preserve">عملاء كاش </v>
          </cell>
          <cell r="D2391" t="str">
            <v>Lames Magdy</v>
          </cell>
        </row>
        <row r="2392">
          <cell r="A2392" t="str">
            <v>عصائر فريش فروت</v>
          </cell>
          <cell r="B2392" t="str">
            <v>Horeca Smart</v>
          </cell>
          <cell r="C2392" t="str">
            <v xml:space="preserve">عملاء كاش </v>
          </cell>
          <cell r="D2392" t="str">
            <v>Lames Magdy</v>
          </cell>
        </row>
        <row r="2393">
          <cell r="A2393" t="str">
            <v>عصائر مارينا</v>
          </cell>
          <cell r="B2393" t="str">
            <v>Horeca Smart</v>
          </cell>
          <cell r="C2393" t="str">
            <v xml:space="preserve">عملاء كاش </v>
          </cell>
          <cell r="D2393" t="str">
            <v>Naden Amgad</v>
          </cell>
        </row>
        <row r="2394">
          <cell r="A2394" t="str">
            <v>عصائر نور الصباح</v>
          </cell>
          <cell r="B2394" t="str">
            <v>Horeca Smart</v>
          </cell>
          <cell r="C2394" t="str">
            <v xml:space="preserve">عملاء كاش </v>
          </cell>
          <cell r="D2394" t="str">
            <v>Lames Magdy</v>
          </cell>
        </row>
        <row r="2395">
          <cell r="A2395" t="str">
            <v>عصائر هابي شوب</v>
          </cell>
          <cell r="B2395" t="str">
            <v>Horeca Smart</v>
          </cell>
          <cell r="C2395" t="str">
            <v xml:space="preserve">عملاء كاش </v>
          </cell>
          <cell r="D2395" t="str">
            <v>Donia Khaled</v>
          </cell>
        </row>
        <row r="2396">
          <cell r="A2396" t="str">
            <v>عصائر يامسهل</v>
          </cell>
          <cell r="B2396" t="str">
            <v>Horeca Smart</v>
          </cell>
          <cell r="C2396" t="str">
            <v xml:space="preserve">عملاء كاش </v>
          </cell>
          <cell r="D2396" t="str">
            <v>Donia Khaled</v>
          </cell>
        </row>
        <row r="2397">
          <cell r="A2397" t="str">
            <v>عفركوش</v>
          </cell>
          <cell r="B2397" t="str">
            <v>Horeca Smart</v>
          </cell>
          <cell r="C2397" t="str">
            <v xml:space="preserve">عملاء كاش </v>
          </cell>
          <cell r="D2397" t="str">
            <v>Donia Khaled</v>
          </cell>
        </row>
        <row r="2398">
          <cell r="A2398" t="str">
            <v>علاء - ابو النيل (توريدات)</v>
          </cell>
          <cell r="B2398" t="str">
            <v>Horeca Smart</v>
          </cell>
          <cell r="C2398" t="str">
            <v xml:space="preserve">عملاء كاش </v>
          </cell>
          <cell r="D2398" t="str">
            <v>Donia Khaled</v>
          </cell>
        </row>
        <row r="2399">
          <cell r="A2399" t="str">
            <v>علاء عزازى (عميل - مورد)</v>
          </cell>
          <cell r="B2399" t="str">
            <v>MAS</v>
          </cell>
          <cell r="C2399" t="str">
            <v>عميل - مورد</v>
          </cell>
          <cell r="D2399" t="str">
            <v>Amgad Ahmed</v>
          </cell>
        </row>
        <row r="2400">
          <cell r="A2400" t="str">
            <v>علوش</v>
          </cell>
          <cell r="B2400" t="str">
            <v>MAS</v>
          </cell>
          <cell r="C2400" t="str">
            <v xml:space="preserve">عملاء كاش </v>
          </cell>
          <cell r="D2400" t="str">
            <v>Haddil Haron</v>
          </cell>
        </row>
        <row r="2401">
          <cell r="A2401" t="str">
            <v>علي القهوة</v>
          </cell>
          <cell r="B2401" t="str">
            <v>Horeca Smart</v>
          </cell>
          <cell r="C2401" t="str">
            <v xml:space="preserve">عملاء كاش </v>
          </cell>
          <cell r="D2401" t="str">
            <v>Donia Khaled</v>
          </cell>
        </row>
        <row r="2402">
          <cell r="A2402" t="str">
            <v>عم جمبرى</v>
          </cell>
          <cell r="B2402" t="str">
            <v>Horeca Smart</v>
          </cell>
          <cell r="C2402" t="str">
            <v xml:space="preserve">عملاء كاش </v>
          </cell>
          <cell r="D2402" t="str">
            <v>Donia Khaled</v>
          </cell>
        </row>
        <row r="2403">
          <cell r="A2403" t="str">
            <v>عم سمك</v>
          </cell>
          <cell r="B2403" t="str">
            <v>Horeca Smart</v>
          </cell>
          <cell r="C2403" t="str">
            <v xml:space="preserve">عملاء كاش </v>
          </cell>
          <cell r="D2403" t="str">
            <v>Donia Khaled</v>
          </cell>
        </row>
        <row r="2404">
          <cell r="A2404" t="str">
            <v>عم سمير بتاع الفطير</v>
          </cell>
          <cell r="B2404" t="str">
            <v>MAS</v>
          </cell>
          <cell r="C2404" t="str">
            <v xml:space="preserve">عملاء كاش </v>
          </cell>
          <cell r="D2404" t="str">
            <v>Reham Maher</v>
          </cell>
        </row>
        <row r="2405">
          <cell r="A2405" t="str">
            <v>عم سمير بتاع الفطير, عم سمير بتاع الفطير, عم سمير بتاع الفطير, عم سمير بتاع الفطير - الدقي</v>
          </cell>
          <cell r="B2405" t="str">
            <v>MAS</v>
          </cell>
          <cell r="C2405" t="str">
            <v xml:space="preserve">عملاء كاش </v>
          </cell>
          <cell r="D2405" t="str">
            <v>Haddil Haron</v>
          </cell>
        </row>
        <row r="2406">
          <cell r="A2406" t="str">
            <v>عم سمير بتاع الفطير, عم سمير بتاع الفطير, عم سمير بتاع الفطير, عم سمير بتاع الفطير - فرع مدينة نصر</v>
          </cell>
          <cell r="B2406" t="str">
            <v>MAS</v>
          </cell>
          <cell r="C2406" t="str">
            <v xml:space="preserve">عملاء كاش </v>
          </cell>
          <cell r="D2406" t="str">
            <v>Reham Maher</v>
          </cell>
        </row>
        <row r="2407">
          <cell r="A2407" t="str">
            <v>عمر الباشا</v>
          </cell>
          <cell r="B2407" t="str">
            <v>Horeca Smart</v>
          </cell>
          <cell r="C2407" t="str">
            <v xml:space="preserve">عملاء كاش </v>
          </cell>
          <cell r="D2407" t="str">
            <v>Donia Khaled</v>
          </cell>
        </row>
        <row r="2408">
          <cell r="A2408" t="str">
            <v>عمو حسني</v>
          </cell>
          <cell r="B2408" t="str">
            <v>Horeca Smart</v>
          </cell>
          <cell r="C2408" t="str">
            <v xml:space="preserve">عملاء كاش </v>
          </cell>
          <cell r="D2408" t="str">
            <v>Donia Khaled</v>
          </cell>
        </row>
        <row r="2409">
          <cell r="A2409" t="str">
            <v>عنبه</v>
          </cell>
          <cell r="B2409" t="str">
            <v>Horeca Smart</v>
          </cell>
          <cell r="C2409" t="str">
            <v xml:space="preserve">عملاء كاش </v>
          </cell>
          <cell r="D2409" t="str">
            <v>Hager Ahmed</v>
          </cell>
        </row>
        <row r="2410">
          <cell r="A2410" t="str">
            <v>عند بابا</v>
          </cell>
          <cell r="B2410" t="str">
            <v>Horeca Smart</v>
          </cell>
          <cell r="C2410" t="str">
            <v xml:space="preserve">عملاء كاش </v>
          </cell>
          <cell r="D2410" t="str">
            <v>Donia Khaled</v>
          </cell>
        </row>
        <row r="2411">
          <cell r="A2411" t="str">
            <v>عود قرنفل</v>
          </cell>
          <cell r="B2411" t="str">
            <v>Horeca Smart</v>
          </cell>
          <cell r="C2411" t="str">
            <v xml:space="preserve">عملاء كاش </v>
          </cell>
          <cell r="D2411" t="str">
            <v>Donia Khaled</v>
          </cell>
        </row>
        <row r="2412">
          <cell r="A2412" t="str">
            <v>غذاء ميدل ايست</v>
          </cell>
          <cell r="B2412" t="str">
            <v>Horeca Smart</v>
          </cell>
          <cell r="C2412" t="str">
            <v>موردين كاش</v>
          </cell>
          <cell r="D2412" t="str">
            <v>Amgad Ahmed</v>
          </cell>
        </row>
        <row r="2413">
          <cell r="A2413" t="str">
            <v>فالريو تريد للتوريدات</v>
          </cell>
          <cell r="B2413" t="str">
            <v>Horeca Smart</v>
          </cell>
          <cell r="C2413" t="str">
            <v xml:space="preserve">عملاء كاش </v>
          </cell>
          <cell r="D2413" t="str">
            <v>Lames Magdy</v>
          </cell>
        </row>
        <row r="2414">
          <cell r="A2414" t="str">
            <v>فالي ووتر</v>
          </cell>
          <cell r="C2414" t="str">
            <v>موردين كاش</v>
          </cell>
          <cell r="D2414" t="str">
            <v>Amgad Ahmed</v>
          </cell>
        </row>
        <row r="2415">
          <cell r="A2415" t="str">
            <v>فاميلى -محمد عطيه شعبان</v>
          </cell>
          <cell r="B2415" t="str">
            <v>MAS</v>
          </cell>
          <cell r="C2415" t="str">
            <v>موردين كاش</v>
          </cell>
          <cell r="D2415" t="str">
            <v>Amgad Ahmed</v>
          </cell>
        </row>
        <row r="2416">
          <cell r="A2416" t="str">
            <v>فاميلي درينك - المعادي</v>
          </cell>
          <cell r="B2416" t="str">
            <v>Horeca Smart</v>
          </cell>
          <cell r="C2416" t="str">
            <v xml:space="preserve">عملاء كاش </v>
          </cell>
          <cell r="D2416" t="str">
            <v>Donia Khaled</v>
          </cell>
        </row>
        <row r="2417">
          <cell r="A2417" t="str">
            <v>فاميلي درينك - مدينة نصر</v>
          </cell>
          <cell r="B2417" t="str">
            <v>Horeca Smart</v>
          </cell>
          <cell r="C2417" t="str">
            <v xml:space="preserve">عملاء كاش </v>
          </cell>
          <cell r="D2417" t="str">
            <v>Lames Magdy</v>
          </cell>
        </row>
        <row r="2418">
          <cell r="A2418" t="str">
            <v>فاميلي درينك_مصر الجديدة</v>
          </cell>
          <cell r="B2418" t="str">
            <v>Horeca Smart</v>
          </cell>
          <cell r="C2418" t="str">
            <v xml:space="preserve">عملاء كاش </v>
          </cell>
          <cell r="D2418" t="str">
            <v>Donia Khaled</v>
          </cell>
        </row>
        <row r="2419">
          <cell r="A2419" t="str">
            <v>فايف توليف</v>
          </cell>
          <cell r="B2419" t="str">
            <v>Horeca Smart</v>
          </cell>
          <cell r="C2419" t="str">
            <v xml:space="preserve">عملاء كاش </v>
          </cell>
          <cell r="D2419" t="str">
            <v>Mona Mohamed</v>
          </cell>
        </row>
        <row r="2420">
          <cell r="A2420" t="str">
            <v>فتافيت</v>
          </cell>
          <cell r="B2420" t="str">
            <v>Horeca Smart</v>
          </cell>
          <cell r="C2420" t="str">
            <v xml:space="preserve">عملاء كاش </v>
          </cell>
          <cell r="D2420" t="str">
            <v>Donia Khaled</v>
          </cell>
        </row>
        <row r="2421">
          <cell r="A2421" t="str">
            <v>فرن ابو جهاد</v>
          </cell>
          <cell r="B2421" t="str">
            <v>Horeca Smart</v>
          </cell>
          <cell r="C2421" t="str">
            <v xml:space="preserve">عملاء كاش </v>
          </cell>
          <cell r="D2421" t="str">
            <v>Donia Khaled</v>
          </cell>
        </row>
        <row r="2422">
          <cell r="A2422" t="str">
            <v>فرن الحرمين</v>
          </cell>
          <cell r="B2422" t="str">
            <v>Horeca Smart</v>
          </cell>
          <cell r="C2422" t="str">
            <v xml:space="preserve">عملاء كاش </v>
          </cell>
          <cell r="D2422" t="str">
            <v>Naden Amgad</v>
          </cell>
        </row>
        <row r="2423">
          <cell r="A2423" t="str">
            <v>فرن الملكة 2</v>
          </cell>
          <cell r="B2423" t="str">
            <v>Horeca Smart</v>
          </cell>
          <cell r="C2423" t="str">
            <v xml:space="preserve">عملاء كاش </v>
          </cell>
          <cell r="D2423" t="str">
            <v>Donia Khaled</v>
          </cell>
        </row>
        <row r="2424">
          <cell r="A2424" t="str">
            <v>فرن كريستال(حدائق القبه)</v>
          </cell>
          <cell r="B2424" t="str">
            <v>Horeca Smart</v>
          </cell>
          <cell r="C2424" t="str">
            <v xml:space="preserve">عملاء كاش </v>
          </cell>
          <cell r="D2424" t="str">
            <v>Donia Khaled</v>
          </cell>
        </row>
        <row r="2425">
          <cell r="A2425" t="str">
            <v>فروت السعودي</v>
          </cell>
          <cell r="B2425" t="str">
            <v>Horeca Smart</v>
          </cell>
          <cell r="C2425" t="str">
            <v xml:space="preserve">عملاء كاش </v>
          </cell>
          <cell r="D2425" t="str">
            <v>Donia Khaled</v>
          </cell>
        </row>
        <row r="2426">
          <cell r="A2426" t="str">
            <v>فروت درينك -طه حسين</v>
          </cell>
          <cell r="B2426" t="str">
            <v>Horeca Smart</v>
          </cell>
          <cell r="C2426" t="str">
            <v xml:space="preserve">عملاء كاش </v>
          </cell>
          <cell r="D2426" t="str">
            <v>Donia Khaled</v>
          </cell>
        </row>
        <row r="2427">
          <cell r="A2427" t="str">
            <v>فروت سيتي</v>
          </cell>
          <cell r="B2427" t="str">
            <v>Horeca Smart</v>
          </cell>
          <cell r="C2427" t="str">
            <v xml:space="preserve">عملاء كاش </v>
          </cell>
          <cell r="D2427" t="str">
            <v>Donia Khaled</v>
          </cell>
        </row>
        <row r="2428">
          <cell r="A2428" t="str">
            <v>فروت سيتي -مصر الجديدة</v>
          </cell>
          <cell r="B2428" t="str">
            <v>Horeca Smart</v>
          </cell>
          <cell r="C2428" t="str">
            <v xml:space="preserve">عملاء كاش </v>
          </cell>
          <cell r="D2428" t="str">
            <v>Reham Maher</v>
          </cell>
        </row>
        <row r="2429">
          <cell r="A2429" t="str">
            <v>فروت لاند</v>
          </cell>
          <cell r="B2429" t="str">
            <v>Horeca Smart</v>
          </cell>
          <cell r="C2429" t="str">
            <v xml:space="preserve">عملاء كاش </v>
          </cell>
          <cell r="D2429" t="str">
            <v>Lames Magdy</v>
          </cell>
        </row>
        <row r="2430">
          <cell r="A2430" t="str">
            <v>فروج ابو العبد</v>
          </cell>
          <cell r="B2430" t="str">
            <v>Horeca Smart</v>
          </cell>
          <cell r="C2430" t="str">
            <v xml:space="preserve">عملاء كاش </v>
          </cell>
          <cell r="D2430" t="str">
            <v>Lames Magdy</v>
          </cell>
        </row>
        <row r="2431">
          <cell r="A2431" t="str">
            <v>فري سبيريت لصناعة الشوكولاتة</v>
          </cell>
          <cell r="B2431" t="str">
            <v>Horeca Smart</v>
          </cell>
          <cell r="C2431" t="str">
            <v xml:space="preserve">عملاء كاش </v>
          </cell>
          <cell r="D2431" t="str">
            <v>Donia Khaled</v>
          </cell>
        </row>
        <row r="2432">
          <cell r="A2432" t="str">
            <v>فريدام</v>
          </cell>
          <cell r="B2432" t="str">
            <v>MAS</v>
          </cell>
          <cell r="C2432" t="str">
            <v xml:space="preserve">عملاء كاش </v>
          </cell>
          <cell r="D2432" t="str">
            <v>Haddil Haron</v>
          </cell>
        </row>
        <row r="2433">
          <cell r="A2433" t="str">
            <v>فطائر الحوت</v>
          </cell>
          <cell r="B2433" t="str">
            <v>Horeca Smart</v>
          </cell>
          <cell r="C2433" t="str">
            <v xml:space="preserve">عملاء كاش </v>
          </cell>
          <cell r="D2433" t="str">
            <v>Lames Magdy</v>
          </cell>
        </row>
        <row r="2434">
          <cell r="A2434" t="str">
            <v>فطائر القليوبى - مدينة نصر</v>
          </cell>
          <cell r="B2434" t="str">
            <v>Horeca Smart</v>
          </cell>
          <cell r="C2434" t="str">
            <v xml:space="preserve">عملاء كاش </v>
          </cell>
          <cell r="D2434" t="str">
            <v>Lames Magdy</v>
          </cell>
        </row>
        <row r="2435">
          <cell r="A2435" t="str">
            <v>فطارجى</v>
          </cell>
          <cell r="B2435" t="str">
            <v>Horeca Smart</v>
          </cell>
          <cell r="C2435" t="str">
            <v xml:space="preserve">عملاء كاش </v>
          </cell>
          <cell r="D2435" t="str">
            <v>Donia Khaled</v>
          </cell>
        </row>
        <row r="2436">
          <cell r="A2436" t="str">
            <v>فطاطرى المدينة</v>
          </cell>
          <cell r="B2436" t="str">
            <v>Horeca Smart</v>
          </cell>
          <cell r="C2436" t="str">
            <v xml:space="preserve">عملاء كاش </v>
          </cell>
          <cell r="D2436" t="str">
            <v>Lames Magdy</v>
          </cell>
        </row>
        <row r="2437">
          <cell r="A2437" t="str">
            <v>فطاطري القليوبي</v>
          </cell>
          <cell r="B2437" t="str">
            <v>Horeca Smart</v>
          </cell>
          <cell r="C2437" t="str">
            <v xml:space="preserve">عملاء كاش </v>
          </cell>
          <cell r="D2437" t="str">
            <v>Rasha Hassan</v>
          </cell>
        </row>
        <row r="2438">
          <cell r="A2438" t="str">
            <v>فطوره</v>
          </cell>
          <cell r="B2438" t="str">
            <v>Horeca Smart</v>
          </cell>
          <cell r="C2438" t="str">
            <v xml:space="preserve">عملاء كاش </v>
          </cell>
          <cell r="D2438" t="str">
            <v>Donia Khaled</v>
          </cell>
        </row>
        <row r="2439">
          <cell r="A2439" t="str">
            <v>فطير باي استيشن</v>
          </cell>
          <cell r="B2439" t="str">
            <v>Horeca Smart</v>
          </cell>
          <cell r="C2439" t="str">
            <v xml:space="preserve">عملاء كاش </v>
          </cell>
          <cell r="D2439" t="str">
            <v>Reham Maher</v>
          </cell>
        </row>
        <row r="2440">
          <cell r="A2440" t="str">
            <v>فطير باي استيشن, فطير باي استيشن, باي استيشن - مول العرب</v>
          </cell>
          <cell r="B2440" t="str">
            <v>Horeca Smart</v>
          </cell>
          <cell r="C2440" t="str">
            <v xml:space="preserve">عملاء كاش </v>
          </cell>
          <cell r="D2440" t="str">
            <v>Naden Amgad</v>
          </cell>
        </row>
        <row r="2441">
          <cell r="A2441" t="str">
            <v>فطير باي استيشن, فطير باي استيشن, فطير باي استيشن - التجمع</v>
          </cell>
          <cell r="B2441" t="str">
            <v>Horeca Smart</v>
          </cell>
          <cell r="C2441" t="str">
            <v xml:space="preserve">عملاء كاش </v>
          </cell>
          <cell r="D2441" t="str">
            <v>Donia Khaled</v>
          </cell>
        </row>
        <row r="2442">
          <cell r="A2442" t="str">
            <v>فطير باي استيشن, فطير باي استيشن, فطير باي استيشن - مدينة نصر</v>
          </cell>
          <cell r="B2442" t="str">
            <v>Horeca Smart</v>
          </cell>
          <cell r="C2442" t="str">
            <v xml:space="preserve">عملاء كاش </v>
          </cell>
          <cell r="D2442" t="str">
            <v>Reham Maher</v>
          </cell>
        </row>
        <row r="2443">
          <cell r="A2443" t="str">
            <v>فطيرة كراميل - المقطم</v>
          </cell>
          <cell r="B2443" t="str">
            <v>Horeca Smart</v>
          </cell>
          <cell r="C2443" t="str">
            <v xml:space="preserve">عملاء كاش </v>
          </cell>
          <cell r="D2443" t="str">
            <v>Donia Khaled</v>
          </cell>
        </row>
        <row r="2444">
          <cell r="A2444" t="str">
            <v>فطيرة كراميل - مصر الجديدة</v>
          </cell>
          <cell r="B2444" t="str">
            <v>Horeca Smart</v>
          </cell>
          <cell r="C2444" t="str">
            <v xml:space="preserve">عملاء كاش </v>
          </cell>
          <cell r="D2444" t="str">
            <v>Lames Magdy</v>
          </cell>
        </row>
        <row r="2445">
          <cell r="A2445" t="str">
            <v>فطيره</v>
          </cell>
          <cell r="B2445" t="str">
            <v>Horeca Smart</v>
          </cell>
          <cell r="C2445" t="str">
            <v xml:space="preserve">عملاء كاش </v>
          </cell>
          <cell r="D2445" t="str">
            <v>Donia Khaled</v>
          </cell>
        </row>
        <row r="2446">
          <cell r="A2446" t="str">
            <v>فلاب كاب للحلول الذكية</v>
          </cell>
          <cell r="B2446" t="str">
            <v>Horeca Smart</v>
          </cell>
          <cell r="C2446" t="str">
            <v xml:space="preserve">عملاء كاش </v>
          </cell>
          <cell r="D2446" t="str">
            <v>Donia Khaled</v>
          </cell>
        </row>
        <row r="2447">
          <cell r="A2447" t="str">
            <v>فلافل شامنا</v>
          </cell>
          <cell r="B2447" t="str">
            <v>Horeca Smart</v>
          </cell>
          <cell r="C2447" t="str">
            <v xml:space="preserve">عملاء كاش </v>
          </cell>
          <cell r="D2447" t="str">
            <v>Naden Amgad</v>
          </cell>
        </row>
        <row r="2448">
          <cell r="A2448" t="str">
            <v>فلافل علي كيفك</v>
          </cell>
          <cell r="B2448" t="str">
            <v>Horeca Smart</v>
          </cell>
          <cell r="C2448" t="str">
            <v xml:space="preserve">عملاء كاش </v>
          </cell>
          <cell r="D2448" t="str">
            <v>Donia Khaled</v>
          </cell>
        </row>
        <row r="2449">
          <cell r="A2449" t="str">
            <v>فلفه ٢</v>
          </cell>
          <cell r="B2449" t="str">
            <v>Horeca Smart</v>
          </cell>
          <cell r="C2449" t="str">
            <v xml:space="preserve">عملاء كاش </v>
          </cell>
          <cell r="D2449" t="str">
            <v>Naden Amgad</v>
          </cell>
        </row>
        <row r="2450">
          <cell r="A2450" t="str">
            <v>فلوريا للمأكولات السوريه</v>
          </cell>
          <cell r="B2450" t="str">
            <v>Horeca Smart</v>
          </cell>
          <cell r="C2450" t="str">
            <v xml:space="preserve">عملاء كاش </v>
          </cell>
          <cell r="D2450" t="str">
            <v>Donia Khaled</v>
          </cell>
        </row>
        <row r="2451">
          <cell r="A2451" t="str">
            <v>فلوريل للصناعات الغذائية</v>
          </cell>
          <cell r="B2451" t="str">
            <v>Horeca Smart</v>
          </cell>
          <cell r="C2451" t="str">
            <v xml:space="preserve">عملاء كاش </v>
          </cell>
          <cell r="D2451" t="str">
            <v>Donia Khaled</v>
          </cell>
        </row>
        <row r="2452">
          <cell r="A2452" t="str">
            <v>فلوكي برجر-زهراء المعادي</v>
          </cell>
          <cell r="B2452" t="str">
            <v>Horeca Smart</v>
          </cell>
          <cell r="C2452" t="str">
            <v xml:space="preserve">عملاء كاش </v>
          </cell>
          <cell r="D2452" t="str">
            <v>Donia Khaled</v>
          </cell>
        </row>
        <row r="2453">
          <cell r="A2453" t="str">
            <v>فنجان سي عمر</v>
          </cell>
          <cell r="B2453" t="str">
            <v>Horeca Smart</v>
          </cell>
          <cell r="C2453" t="str">
            <v xml:space="preserve">عملاء كاش </v>
          </cell>
          <cell r="D2453" t="str">
            <v>Lames Magdy</v>
          </cell>
        </row>
        <row r="2454">
          <cell r="A2454" t="str">
            <v>فندق هلنان دريم</v>
          </cell>
          <cell r="B2454" t="str">
            <v>Horeca Smart</v>
          </cell>
          <cell r="C2454" t="str">
            <v xml:space="preserve">عملاء كاش </v>
          </cell>
          <cell r="D2454" t="str">
            <v>Naden Amgad</v>
          </cell>
        </row>
        <row r="2455">
          <cell r="A2455" t="str">
            <v>فندق هورايزون</v>
          </cell>
          <cell r="B2455" t="str">
            <v>Horeca Smart</v>
          </cell>
          <cell r="C2455" t="str">
            <v xml:space="preserve">عملاء كاش </v>
          </cell>
          <cell r="D2455" t="str">
            <v>Naden Amgad</v>
          </cell>
        </row>
        <row r="2456">
          <cell r="A2456" t="str">
            <v>فنوتيلا</v>
          </cell>
          <cell r="B2456" t="str">
            <v>Horeca Smart</v>
          </cell>
          <cell r="C2456" t="str">
            <v xml:space="preserve">عملاء كاش </v>
          </cell>
          <cell r="D2456" t="str">
            <v>Naden Amgad</v>
          </cell>
        </row>
        <row r="2457">
          <cell r="A2457" t="str">
            <v>فوال أم درمان</v>
          </cell>
          <cell r="B2457" t="str">
            <v>Horeca Smart</v>
          </cell>
          <cell r="C2457" t="str">
            <v xml:space="preserve">عملاء كاش </v>
          </cell>
          <cell r="D2457" t="str">
            <v>Lames Magdy</v>
          </cell>
        </row>
        <row r="2458">
          <cell r="A2458" t="str">
            <v>فود ماجيك</v>
          </cell>
          <cell r="B2458" t="str">
            <v>Horeca Smart</v>
          </cell>
          <cell r="C2458" t="str">
            <v xml:space="preserve">عملاء كاش </v>
          </cell>
          <cell r="D2458" t="str">
            <v>Donia Khaled</v>
          </cell>
        </row>
        <row r="2459">
          <cell r="A2459" t="str">
            <v>فوديكا بلس (في كولا)</v>
          </cell>
          <cell r="B2459" t="str">
            <v>Horeca Smart</v>
          </cell>
          <cell r="C2459" t="str">
            <v>موردين كاش</v>
          </cell>
          <cell r="D2459" t="str">
            <v>Amgad Ahmed</v>
          </cell>
        </row>
        <row r="2460">
          <cell r="A2460" t="str">
            <v>فور كى</v>
          </cell>
          <cell r="B2460" t="str">
            <v>Horeca Smart</v>
          </cell>
          <cell r="C2460" t="str">
            <v xml:space="preserve">عملاء كاش </v>
          </cell>
          <cell r="D2460" t="str">
            <v>Lames Magdy</v>
          </cell>
        </row>
        <row r="2461">
          <cell r="A2461" t="str">
            <v>فوزي الكبابجى</v>
          </cell>
          <cell r="B2461" t="str">
            <v>Horeca Smart</v>
          </cell>
          <cell r="C2461" t="str">
            <v xml:space="preserve">عملاء كاش </v>
          </cell>
          <cell r="D2461" t="str">
            <v>Donia Khaled</v>
          </cell>
        </row>
        <row r="2462">
          <cell r="A2462" t="str">
            <v>فوكا سابوري</v>
          </cell>
          <cell r="B2462" t="str">
            <v>Horeca Smart</v>
          </cell>
          <cell r="C2462" t="str">
            <v xml:space="preserve">عملاء كاش </v>
          </cell>
          <cell r="D2462" t="str">
            <v>Donia Khaled</v>
          </cell>
        </row>
        <row r="2463">
          <cell r="A2463" t="str">
            <v>فول و فلافل كهرمان</v>
          </cell>
          <cell r="B2463" t="str">
            <v>Horeca Smart</v>
          </cell>
          <cell r="C2463" t="str">
            <v xml:space="preserve">عملاء كاش </v>
          </cell>
          <cell r="D2463" t="str">
            <v>Reham Maher</v>
          </cell>
        </row>
        <row r="2464">
          <cell r="A2464" t="str">
            <v>فول وفلافل أبو ركبة</v>
          </cell>
          <cell r="B2464" t="str">
            <v>Horeca Smart</v>
          </cell>
          <cell r="C2464" t="str">
            <v xml:space="preserve">عملاء كاش </v>
          </cell>
          <cell r="D2464" t="str">
            <v>Naden Amgad</v>
          </cell>
        </row>
        <row r="2465">
          <cell r="A2465" t="str">
            <v>فول وفلافل ابو العز الشبراوي</v>
          </cell>
          <cell r="B2465" t="str">
            <v>Horeca Smart</v>
          </cell>
          <cell r="C2465" t="str">
            <v xml:space="preserve">عملاء كاش </v>
          </cell>
          <cell r="D2465" t="str">
            <v>Lames Magdy</v>
          </cell>
        </row>
        <row r="2466">
          <cell r="A2466" t="str">
            <v>فول وفلافل احمد</v>
          </cell>
          <cell r="B2466" t="str">
            <v>Horeca Smart</v>
          </cell>
          <cell r="C2466" t="str">
            <v xml:space="preserve">عملاء كاش </v>
          </cell>
          <cell r="D2466" t="str">
            <v>Donia Khaled</v>
          </cell>
        </row>
        <row r="2467">
          <cell r="A2467" t="str">
            <v>فول وفلافل البركة - البساتين</v>
          </cell>
          <cell r="B2467" t="str">
            <v>Horeca Smart</v>
          </cell>
          <cell r="C2467" t="str">
            <v xml:space="preserve">عملاء كاش </v>
          </cell>
          <cell r="D2467" t="str">
            <v>Donia Khaled</v>
          </cell>
        </row>
        <row r="2468">
          <cell r="A2468" t="str">
            <v>فول وفلافل الجنايني</v>
          </cell>
          <cell r="B2468" t="str">
            <v>Horeca Smart</v>
          </cell>
          <cell r="C2468" t="str">
            <v xml:space="preserve">عملاء كاش </v>
          </cell>
          <cell r="D2468" t="str">
            <v>Lames Magdy</v>
          </cell>
        </row>
        <row r="2469">
          <cell r="A2469" t="str">
            <v>فول وفلافل الحمد</v>
          </cell>
          <cell r="B2469" t="str">
            <v>Horeca Smart</v>
          </cell>
          <cell r="C2469" t="str">
            <v xml:space="preserve">عملاء كاش </v>
          </cell>
          <cell r="D2469" t="str">
            <v>Lames Magdy</v>
          </cell>
        </row>
        <row r="2470">
          <cell r="A2470" t="str">
            <v>فول وفلافل الفوال</v>
          </cell>
          <cell r="B2470" t="str">
            <v>Horeca Smart</v>
          </cell>
          <cell r="C2470" t="str">
            <v xml:space="preserve">عملاء كاش </v>
          </cell>
          <cell r="D2470" t="str">
            <v>Naden Amgad</v>
          </cell>
        </row>
        <row r="2471">
          <cell r="A2471" t="str">
            <v>فول وفلافل الندي</v>
          </cell>
          <cell r="B2471" t="str">
            <v>Horeca Smart</v>
          </cell>
          <cell r="C2471" t="str">
            <v xml:space="preserve">عملاء كاش </v>
          </cell>
          <cell r="D2471" t="str">
            <v>Lames Magdy</v>
          </cell>
        </row>
        <row r="2472">
          <cell r="A2472" t="str">
            <v>فول وفلافل الواحاتي شيراتون</v>
          </cell>
          <cell r="B2472" t="str">
            <v>Horeca Smart</v>
          </cell>
          <cell r="C2472" t="str">
            <v xml:space="preserve">عملاء كاش </v>
          </cell>
          <cell r="D2472" t="str">
            <v>Donia Khaled</v>
          </cell>
        </row>
        <row r="2473">
          <cell r="A2473" t="str">
            <v>فول وفلافل حكاية</v>
          </cell>
          <cell r="B2473" t="str">
            <v>Horeca Smart</v>
          </cell>
          <cell r="C2473" t="str">
            <v xml:space="preserve">عملاء كاش </v>
          </cell>
          <cell r="D2473" t="str">
            <v>Lames Magdy</v>
          </cell>
        </row>
        <row r="2474">
          <cell r="A2474" t="str">
            <v>فول وفلافل دلع كرشك</v>
          </cell>
          <cell r="B2474" t="str">
            <v>Horeca Smart</v>
          </cell>
          <cell r="C2474" t="str">
            <v xml:space="preserve">عملاء كاش </v>
          </cell>
          <cell r="D2474" t="str">
            <v>Lames Magdy</v>
          </cell>
        </row>
        <row r="2475">
          <cell r="A2475" t="str">
            <v>فول وفلافل دهب</v>
          </cell>
          <cell r="B2475" t="str">
            <v>Horeca Smart</v>
          </cell>
          <cell r="C2475" t="str">
            <v xml:space="preserve">عملاء كاش </v>
          </cell>
          <cell r="D2475" t="str">
            <v>Lames Magdy</v>
          </cell>
        </row>
        <row r="2476">
          <cell r="A2476" t="str">
            <v>فول وفلافل زهران</v>
          </cell>
          <cell r="B2476" t="str">
            <v>Horeca Smart</v>
          </cell>
          <cell r="C2476" t="str">
            <v xml:space="preserve">عملاء كاش </v>
          </cell>
          <cell r="D2476" t="str">
            <v>Lames Magdy</v>
          </cell>
        </row>
        <row r="2477">
          <cell r="A2477" t="str">
            <v>فول وفلافل عبده دولار</v>
          </cell>
          <cell r="B2477" t="str">
            <v>Horeca Smart</v>
          </cell>
          <cell r="C2477" t="str">
            <v xml:space="preserve">عملاء كاش </v>
          </cell>
          <cell r="D2477" t="str">
            <v>Donia Khaled</v>
          </cell>
        </row>
        <row r="2478">
          <cell r="A2478" t="str">
            <v>فول وفلافل فايز يورو</v>
          </cell>
          <cell r="B2478" t="str">
            <v>Horeca Smart</v>
          </cell>
          <cell r="C2478" t="str">
            <v xml:space="preserve">عملاء كاش </v>
          </cell>
          <cell r="D2478" t="str">
            <v>Donia Khaled</v>
          </cell>
        </row>
        <row r="2479">
          <cell r="A2479" t="str">
            <v>فول وفلافل ليالي الشام</v>
          </cell>
          <cell r="B2479" t="str">
            <v>Horeca Smart</v>
          </cell>
          <cell r="C2479" t="str">
            <v xml:space="preserve">عملاء كاش </v>
          </cell>
          <cell r="D2479" t="str">
            <v>Reham Maher</v>
          </cell>
        </row>
        <row r="2480">
          <cell r="A2480" t="str">
            <v>فيجو مايسترو</v>
          </cell>
          <cell r="B2480" t="str">
            <v>Horeca Smart</v>
          </cell>
          <cell r="C2480" t="str">
            <v xml:space="preserve">عملاء كاش </v>
          </cell>
          <cell r="D2480" t="str">
            <v>Lames Magdy</v>
          </cell>
        </row>
        <row r="2481">
          <cell r="A2481" t="str">
            <v>فيلا دي نابولي</v>
          </cell>
          <cell r="B2481" t="str">
            <v>Horeca Smart</v>
          </cell>
          <cell r="C2481" t="str">
            <v xml:space="preserve">عملاء كاش </v>
          </cell>
          <cell r="D2481" t="str">
            <v>Donia Khaled</v>
          </cell>
        </row>
        <row r="2482">
          <cell r="A2482" t="str">
            <v>فيلوتشي</v>
          </cell>
          <cell r="B2482" t="str">
            <v>Horeca Smart</v>
          </cell>
          <cell r="C2482" t="str">
            <v xml:space="preserve">عملاء كاش </v>
          </cell>
          <cell r="D2482" t="str">
            <v>Donia Khaled</v>
          </cell>
        </row>
        <row r="2483">
          <cell r="A2483" t="str">
            <v>فينيتو للمقاولات والتوريدات العمومية</v>
          </cell>
          <cell r="B2483" t="str">
            <v>Horeca Smart</v>
          </cell>
          <cell r="C2483" t="str">
            <v xml:space="preserve">عملاء كاش </v>
          </cell>
          <cell r="D2483" t="str">
            <v>Donia Khaled</v>
          </cell>
        </row>
        <row r="2484">
          <cell r="A2484" t="str">
            <v>قاصد كريم</v>
          </cell>
          <cell r="B2484" t="str">
            <v>Horeca Smart</v>
          </cell>
          <cell r="C2484" t="str">
            <v xml:space="preserve">عملاء كاش </v>
          </cell>
          <cell r="D2484" t="str">
            <v>Naden Amgad</v>
          </cell>
        </row>
        <row r="2485">
          <cell r="A2485" t="str">
            <v>قاعه المنارة للمؤتمرات الدولية</v>
          </cell>
          <cell r="B2485" t="str">
            <v>Horeca Smart</v>
          </cell>
          <cell r="C2485" t="str">
            <v xml:space="preserve">عملاء كاش </v>
          </cell>
          <cell r="D2485" t="str">
            <v>Lames Magdy</v>
          </cell>
        </row>
        <row r="2486">
          <cell r="A2486" t="str">
            <v>قبرص للمأكولات البحرية</v>
          </cell>
          <cell r="B2486" t="str">
            <v>Horeca Smart</v>
          </cell>
          <cell r="C2486" t="str">
            <v xml:space="preserve">عملاء كاش </v>
          </cell>
          <cell r="D2486" t="str">
            <v>Donia Khaled</v>
          </cell>
        </row>
        <row r="2487">
          <cell r="A2487" t="str">
            <v>قرية حواش للمأكولات المشويه والبدويه</v>
          </cell>
          <cell r="B2487" t="str">
            <v>Horeca Smart</v>
          </cell>
          <cell r="C2487" t="str">
            <v xml:space="preserve">عملاء كاش </v>
          </cell>
          <cell r="D2487" t="str">
            <v>Naden Amgad</v>
          </cell>
        </row>
        <row r="2488">
          <cell r="A2488" t="str">
            <v>قريةستو</v>
          </cell>
          <cell r="B2488" t="str">
            <v>Horeca Smart</v>
          </cell>
          <cell r="C2488" t="str">
            <v xml:space="preserve">عملاء كاش </v>
          </cell>
          <cell r="D2488" t="str">
            <v>Donia Khaled</v>
          </cell>
        </row>
        <row r="2489">
          <cell r="A2489" t="str">
            <v>قشة</v>
          </cell>
        </row>
        <row r="2490">
          <cell r="A2490" t="str">
            <v>قصر السودان</v>
          </cell>
          <cell r="B2490" t="str">
            <v>Horeca Smart</v>
          </cell>
          <cell r="C2490" t="str">
            <v xml:space="preserve">عملاء كاش </v>
          </cell>
          <cell r="D2490" t="str">
            <v>Naden Amgad</v>
          </cell>
        </row>
        <row r="2491">
          <cell r="A2491" t="str">
            <v>قصر الملوك</v>
          </cell>
          <cell r="B2491" t="str">
            <v>Horeca Smart</v>
          </cell>
          <cell r="C2491" t="str">
            <v xml:space="preserve">عملاء كاش </v>
          </cell>
          <cell r="D2491" t="str">
            <v>Mona Mohamed</v>
          </cell>
        </row>
        <row r="2492">
          <cell r="A2492" t="str">
            <v>قصر سفارى, قصر سفارى, قصر سفارى - العمرانية</v>
          </cell>
          <cell r="B2492" t="str">
            <v>Horeca Smart</v>
          </cell>
          <cell r="C2492" t="str">
            <v xml:space="preserve">عملاء كاش </v>
          </cell>
          <cell r="D2492" t="str">
            <v>Mona Mohamed</v>
          </cell>
        </row>
        <row r="2493">
          <cell r="A2493" t="str">
            <v>قصر سفارى, قصر سفارى, قصر سفارى - المطبعة</v>
          </cell>
          <cell r="B2493" t="str">
            <v>Horeca Smart</v>
          </cell>
          <cell r="C2493" t="str">
            <v xml:space="preserve">عملاء كاش </v>
          </cell>
          <cell r="D2493" t="str">
            <v>Mona Mohamed</v>
          </cell>
        </row>
        <row r="2494">
          <cell r="A2494" t="str">
            <v>قصر نابولي</v>
          </cell>
          <cell r="B2494" t="str">
            <v>MAS</v>
          </cell>
          <cell r="C2494" t="str">
            <v xml:space="preserve">عملاء كاش </v>
          </cell>
          <cell r="D2494" t="str">
            <v>Donia Khaled</v>
          </cell>
        </row>
        <row r="2495">
          <cell r="A2495" t="str">
            <v>قعدة عربي</v>
          </cell>
          <cell r="B2495" t="str">
            <v>Horeca Smart</v>
          </cell>
          <cell r="C2495" t="str">
            <v xml:space="preserve">عملاء كاش </v>
          </cell>
          <cell r="D2495" t="str">
            <v>Lames Magdy</v>
          </cell>
        </row>
        <row r="2496">
          <cell r="A2496" t="str">
            <v>قعدة مزاج</v>
          </cell>
          <cell r="B2496" t="str">
            <v>Horeca Smart</v>
          </cell>
          <cell r="C2496" t="str">
            <v xml:space="preserve">عملاء كاش </v>
          </cell>
          <cell r="D2496" t="str">
            <v>Naden Amgad</v>
          </cell>
        </row>
        <row r="2497">
          <cell r="A2497" t="str">
            <v>قلب بيروت</v>
          </cell>
          <cell r="B2497" t="str">
            <v>Horeca Smart</v>
          </cell>
          <cell r="C2497" t="str">
            <v xml:space="preserve">عملاء كاش </v>
          </cell>
          <cell r="D2497" t="str">
            <v>Donia Khaled</v>
          </cell>
        </row>
        <row r="2498">
          <cell r="A2498" t="str">
            <v>قلبة و قومة</v>
          </cell>
          <cell r="B2498" t="str">
            <v>Horeca Smart</v>
          </cell>
          <cell r="C2498" t="str">
            <v xml:space="preserve">عملاء كاش </v>
          </cell>
          <cell r="D2498" t="str">
            <v>Donia Khaled</v>
          </cell>
        </row>
        <row r="2499">
          <cell r="A2499" t="str">
            <v>قنديل للزجاج</v>
          </cell>
          <cell r="B2499" t="str">
            <v>Horeca Smart</v>
          </cell>
          <cell r="C2499" t="str">
            <v xml:space="preserve">عملاء كاش </v>
          </cell>
          <cell r="D2499" t="str">
            <v>Donia Khaled</v>
          </cell>
        </row>
        <row r="2500">
          <cell r="A2500" t="str">
            <v>قهوة ابو عمر</v>
          </cell>
          <cell r="B2500" t="str">
            <v>Horeca Smart</v>
          </cell>
          <cell r="C2500" t="str">
            <v xml:space="preserve">عملاء كاش </v>
          </cell>
          <cell r="D2500" t="str">
            <v>Donia Khaled</v>
          </cell>
        </row>
        <row r="2501">
          <cell r="A2501" t="str">
            <v>قهوة الأصيل</v>
          </cell>
          <cell r="B2501" t="str">
            <v>Horeca Smart</v>
          </cell>
          <cell r="C2501" t="str">
            <v xml:space="preserve">عملاء كاش </v>
          </cell>
          <cell r="D2501" t="str">
            <v>Lames Magdy</v>
          </cell>
        </row>
        <row r="2502">
          <cell r="A2502" t="str">
            <v>قهوة البسفور</v>
          </cell>
          <cell r="B2502" t="str">
            <v>Horeca Smart</v>
          </cell>
          <cell r="C2502" t="str">
            <v xml:space="preserve">عملاء كاش </v>
          </cell>
          <cell r="D2502" t="str">
            <v>Donia Khaled</v>
          </cell>
        </row>
        <row r="2503">
          <cell r="A2503" t="str">
            <v>قهوة الجزيرة</v>
          </cell>
          <cell r="B2503" t="str">
            <v>Horeca Smart</v>
          </cell>
          <cell r="C2503" t="str">
            <v xml:space="preserve">عملاء كاش </v>
          </cell>
          <cell r="D2503" t="str">
            <v>Lames Magdy</v>
          </cell>
        </row>
        <row r="2504">
          <cell r="A2504" t="str">
            <v>قهوة الجزيرة 2000</v>
          </cell>
          <cell r="B2504" t="str">
            <v>Horeca Smart</v>
          </cell>
          <cell r="C2504" t="str">
            <v xml:space="preserve">عملاء كاش </v>
          </cell>
          <cell r="D2504" t="str">
            <v>Donia Khaled</v>
          </cell>
        </row>
        <row r="2505">
          <cell r="A2505" t="str">
            <v>قهوة الجوول</v>
          </cell>
          <cell r="B2505" t="str">
            <v>Horeca Smart</v>
          </cell>
          <cell r="C2505" t="str">
            <v xml:space="preserve">عملاء كاش </v>
          </cell>
          <cell r="D2505" t="str">
            <v>Lames Magdy</v>
          </cell>
        </row>
        <row r="2506">
          <cell r="A2506" t="str">
            <v>قهوة الخواجة</v>
          </cell>
          <cell r="B2506" t="str">
            <v>Horeca Smart</v>
          </cell>
          <cell r="C2506" t="str">
            <v xml:space="preserve">عملاء كاش </v>
          </cell>
          <cell r="D2506" t="str">
            <v>Donia Khaled</v>
          </cell>
        </row>
        <row r="2507">
          <cell r="A2507" t="str">
            <v>قهوة الدشناوية</v>
          </cell>
          <cell r="B2507" t="str">
            <v>Horeca Smart</v>
          </cell>
          <cell r="C2507" t="str">
            <v xml:space="preserve">عملاء كاش </v>
          </cell>
          <cell r="D2507" t="str">
            <v>Donia Khaled</v>
          </cell>
        </row>
        <row r="2508">
          <cell r="A2508" t="str">
            <v>قهوة السعادة</v>
          </cell>
          <cell r="B2508" t="str">
            <v>Horeca Smart</v>
          </cell>
          <cell r="C2508" t="str">
            <v xml:space="preserve">عملاء كاش </v>
          </cell>
          <cell r="D2508" t="str">
            <v>Donia Khaled</v>
          </cell>
        </row>
        <row r="2509">
          <cell r="A2509" t="str">
            <v>قهوة الشيخ</v>
          </cell>
          <cell r="B2509" t="str">
            <v>Horeca Smart</v>
          </cell>
          <cell r="C2509" t="str">
            <v xml:space="preserve">عملاء كاش </v>
          </cell>
          <cell r="D2509" t="str">
            <v>Donia Khaled</v>
          </cell>
        </row>
        <row r="2510">
          <cell r="A2510" t="str">
            <v>قهوة الصحافة</v>
          </cell>
          <cell r="B2510" t="str">
            <v>Horeca Smart</v>
          </cell>
          <cell r="C2510" t="str">
            <v xml:space="preserve">عملاء كاش </v>
          </cell>
          <cell r="D2510" t="str">
            <v>Donia Khaled</v>
          </cell>
        </row>
        <row r="2511">
          <cell r="A2511" t="str">
            <v>قهوة القاهرة</v>
          </cell>
          <cell r="B2511" t="str">
            <v>Horeca Smart</v>
          </cell>
          <cell r="C2511" t="str">
            <v xml:space="preserve">عملاء كاش </v>
          </cell>
          <cell r="D2511" t="str">
            <v>Donia Khaled</v>
          </cell>
        </row>
        <row r="2512">
          <cell r="A2512" t="str">
            <v>قهوة المشربية</v>
          </cell>
          <cell r="B2512" t="str">
            <v>Horeca Smart</v>
          </cell>
          <cell r="C2512" t="str">
            <v xml:space="preserve">عملاء كاش </v>
          </cell>
          <cell r="D2512" t="str">
            <v>Donia Khaled</v>
          </cell>
        </row>
        <row r="2513">
          <cell r="A2513" t="str">
            <v>قهوة النصر</v>
          </cell>
          <cell r="B2513" t="str">
            <v>Horeca Smart</v>
          </cell>
          <cell r="C2513" t="str">
            <v xml:space="preserve">عملاء كاش </v>
          </cell>
          <cell r="D2513" t="str">
            <v>Donia Khaled</v>
          </cell>
        </row>
        <row r="2514">
          <cell r="A2514" t="str">
            <v>قهوة ام كلثوم</v>
          </cell>
          <cell r="B2514" t="str">
            <v>Horeca Smart</v>
          </cell>
          <cell r="C2514" t="str">
            <v xml:space="preserve">عملاء كاش </v>
          </cell>
          <cell r="D2514" t="str">
            <v>Donia Khaled</v>
          </cell>
        </row>
        <row r="2515">
          <cell r="A2515" t="str">
            <v>قهوة باشا</v>
          </cell>
          <cell r="B2515" t="str">
            <v>Horeca Smart</v>
          </cell>
          <cell r="C2515" t="str">
            <v xml:space="preserve">عملاء كاش </v>
          </cell>
          <cell r="D2515" t="str">
            <v>Naden Amgad</v>
          </cell>
        </row>
        <row r="2516">
          <cell r="A2516" t="str">
            <v>قهوة دردشة</v>
          </cell>
          <cell r="B2516" t="str">
            <v>Horeca Smart</v>
          </cell>
          <cell r="C2516" t="str">
            <v xml:space="preserve">عملاء كاش </v>
          </cell>
          <cell r="D2516" t="str">
            <v>Donia Khaled</v>
          </cell>
        </row>
        <row r="2517">
          <cell r="A2517" t="str">
            <v>قهوة ريفو</v>
          </cell>
          <cell r="B2517" t="str">
            <v>Horeca Smart</v>
          </cell>
          <cell r="C2517" t="str">
            <v xml:space="preserve">عملاء كاش </v>
          </cell>
          <cell r="D2517" t="str">
            <v>Donia Khaled</v>
          </cell>
        </row>
        <row r="2518">
          <cell r="A2518" t="str">
            <v>قهوة زيتون</v>
          </cell>
          <cell r="B2518" t="str">
            <v>Horeca Smart</v>
          </cell>
          <cell r="C2518" t="str">
            <v xml:space="preserve">عملاء كاش </v>
          </cell>
          <cell r="D2518" t="str">
            <v>Donia Khaled</v>
          </cell>
        </row>
        <row r="2519">
          <cell r="A2519" t="str">
            <v>قهوة شيكو</v>
          </cell>
          <cell r="B2519" t="str">
            <v>Horeca Smart</v>
          </cell>
          <cell r="C2519" t="str">
            <v xml:space="preserve">عملاء كاش </v>
          </cell>
          <cell r="D2519" t="str">
            <v>Donia Khaled</v>
          </cell>
        </row>
        <row r="2520">
          <cell r="A2520" t="str">
            <v>قهوة طاولة</v>
          </cell>
          <cell r="B2520" t="str">
            <v>Horeca Smart</v>
          </cell>
          <cell r="C2520" t="str">
            <v xml:space="preserve">عملاء كاش </v>
          </cell>
          <cell r="D2520" t="str">
            <v>Lames Magdy</v>
          </cell>
        </row>
        <row r="2521">
          <cell r="A2521" t="str">
            <v>قهوة عزو</v>
          </cell>
          <cell r="B2521" t="str">
            <v>Horeca Smart</v>
          </cell>
          <cell r="C2521" t="str">
            <v xml:space="preserve">عملاء كاش </v>
          </cell>
          <cell r="D2521" t="str">
            <v>Donia Khaled</v>
          </cell>
        </row>
        <row r="2522">
          <cell r="A2522" t="str">
            <v>قهوة عمر</v>
          </cell>
          <cell r="B2522" t="str">
            <v>Horeca Smart</v>
          </cell>
          <cell r="C2522" t="str">
            <v xml:space="preserve">عملاء كاش </v>
          </cell>
          <cell r="D2522" t="str">
            <v>Donia Khaled</v>
          </cell>
        </row>
        <row r="2523">
          <cell r="A2523" t="str">
            <v>قهوة فروت سيتي</v>
          </cell>
          <cell r="B2523" t="str">
            <v>Horeca Smart</v>
          </cell>
          <cell r="C2523" t="str">
            <v xml:space="preserve">عملاء كاش </v>
          </cell>
          <cell r="D2523" t="str">
            <v>Lames Magdy</v>
          </cell>
        </row>
        <row r="2524">
          <cell r="A2524" t="str">
            <v>قهوةالسندباد</v>
          </cell>
          <cell r="B2524" t="str">
            <v>Horeca Smart</v>
          </cell>
          <cell r="C2524" t="str">
            <v xml:space="preserve">عملاء كاش </v>
          </cell>
          <cell r="D2524" t="str">
            <v>Lames Magdy</v>
          </cell>
        </row>
        <row r="2525">
          <cell r="A2525" t="str">
            <v>كابتن برجر</v>
          </cell>
          <cell r="B2525" t="str">
            <v>Horeca Smart</v>
          </cell>
          <cell r="C2525" t="str">
            <v xml:space="preserve">عملاء كاش </v>
          </cell>
          <cell r="D2525" t="str">
            <v>Naden Amgad</v>
          </cell>
        </row>
        <row r="2526">
          <cell r="A2526" t="str">
            <v>كابتن برجر- الشيخ زايد</v>
          </cell>
          <cell r="B2526" t="str">
            <v>Horeca Smart</v>
          </cell>
          <cell r="C2526" t="str">
            <v xml:space="preserve">عملاء كاش </v>
          </cell>
          <cell r="D2526" t="str">
            <v>Naden Amgad</v>
          </cell>
        </row>
        <row r="2527">
          <cell r="A2527" t="str">
            <v>كابيتال جريل</v>
          </cell>
          <cell r="B2527" t="str">
            <v>Horeca Smart</v>
          </cell>
          <cell r="C2527" t="str">
            <v xml:space="preserve">عملاء كاش </v>
          </cell>
          <cell r="D2527" t="str">
            <v>Donia Khaled</v>
          </cell>
        </row>
        <row r="2528">
          <cell r="A2528" t="str">
            <v>كاتسو سوشي</v>
          </cell>
          <cell r="B2528" t="str">
            <v>Horeca Smart</v>
          </cell>
          <cell r="C2528" t="str">
            <v xml:space="preserve">عملاء كاش </v>
          </cell>
          <cell r="D2528" t="str">
            <v>Donia Khaled</v>
          </cell>
        </row>
        <row r="2529">
          <cell r="A2529" t="str">
            <v>كارتيلدج للمواد الغذائية</v>
          </cell>
          <cell r="B2529" t="str">
            <v>Horeca Smart</v>
          </cell>
          <cell r="C2529" t="str">
            <v xml:space="preserve">عملاء كاش </v>
          </cell>
          <cell r="D2529" t="str">
            <v>Donia Khaled</v>
          </cell>
        </row>
        <row r="2530">
          <cell r="A2530" t="str">
            <v>كارما</v>
          </cell>
          <cell r="B2530" t="str">
            <v>Horeca Smart</v>
          </cell>
          <cell r="C2530" t="str">
            <v xml:space="preserve">عملاء كاش </v>
          </cell>
          <cell r="D2530" t="str">
            <v>Naden Amgad</v>
          </cell>
        </row>
        <row r="2531">
          <cell r="A2531" t="str">
            <v>كافتريا سيف صيدله</v>
          </cell>
          <cell r="B2531" t="str">
            <v>Horeca Smart</v>
          </cell>
          <cell r="C2531" t="str">
            <v xml:space="preserve">عملاء كاش </v>
          </cell>
          <cell r="D2531" t="str">
            <v>Donia Khaled</v>
          </cell>
        </row>
        <row r="2532">
          <cell r="A2532" t="str">
            <v>كافتيريا السفارة</v>
          </cell>
          <cell r="B2532" t="str">
            <v>Horeca Smart</v>
          </cell>
          <cell r="C2532" t="str">
            <v xml:space="preserve">عملاء كاش </v>
          </cell>
          <cell r="D2532" t="str">
            <v>Donia Khaled</v>
          </cell>
        </row>
        <row r="2533">
          <cell r="A2533" t="str">
            <v>كافية shx</v>
          </cell>
          <cell r="B2533" t="str">
            <v>Horeca Smart</v>
          </cell>
          <cell r="C2533" t="str">
            <v xml:space="preserve">عملاء كاش </v>
          </cell>
          <cell r="D2533" t="str">
            <v>Lames Magdy</v>
          </cell>
        </row>
        <row r="2534">
          <cell r="A2534" t="str">
            <v>كافية الفتح</v>
          </cell>
          <cell r="B2534" t="str">
            <v>Horeca Smart</v>
          </cell>
          <cell r="C2534" t="str">
            <v xml:space="preserve">عملاء كاش </v>
          </cell>
          <cell r="D2534" t="str">
            <v>Lames Magdy</v>
          </cell>
        </row>
        <row r="2535">
          <cell r="A2535" t="str">
            <v>كافية بيت الملك</v>
          </cell>
          <cell r="B2535" t="str">
            <v>Horeca Smart</v>
          </cell>
          <cell r="C2535" t="str">
            <v xml:space="preserve">عملاء كاش </v>
          </cell>
          <cell r="D2535" t="str">
            <v>Lames Magdy</v>
          </cell>
        </row>
        <row r="2536">
          <cell r="A2536" t="str">
            <v>كافية جولدن مج</v>
          </cell>
          <cell r="B2536" t="str">
            <v>Horeca Smart</v>
          </cell>
          <cell r="C2536" t="str">
            <v xml:space="preserve">عملاء كاش </v>
          </cell>
          <cell r="D2536" t="str">
            <v>Naden Amgad</v>
          </cell>
        </row>
        <row r="2537">
          <cell r="A2537" t="str">
            <v>كافية حكاية</v>
          </cell>
          <cell r="B2537" t="str">
            <v>Horeca Smart</v>
          </cell>
          <cell r="C2537" t="str">
            <v xml:space="preserve">عملاء كاش </v>
          </cell>
          <cell r="D2537" t="str">
            <v>Donia Khaled</v>
          </cell>
        </row>
        <row r="2538">
          <cell r="A2538" t="str">
            <v>كافية ظاظا(عمر)</v>
          </cell>
          <cell r="B2538" t="str">
            <v>Horeca Smart</v>
          </cell>
          <cell r="C2538" t="str">
            <v xml:space="preserve">عملاء كاش </v>
          </cell>
          <cell r="D2538" t="str">
            <v>Donia Khaled</v>
          </cell>
        </row>
        <row r="2539">
          <cell r="A2539" t="str">
            <v>كافية واحد شاي</v>
          </cell>
          <cell r="B2539" t="str">
            <v>Horeca Smart</v>
          </cell>
          <cell r="C2539" t="str">
            <v xml:space="preserve">عملاء كاش </v>
          </cell>
          <cell r="D2539" t="str">
            <v>Naden Amgad</v>
          </cell>
        </row>
        <row r="2540">
          <cell r="A2540" t="str">
            <v>كافية ياسر عبده</v>
          </cell>
          <cell r="B2540" t="str">
            <v>Horeca Smart</v>
          </cell>
          <cell r="C2540" t="str">
            <v xml:space="preserve">عملاء كاش </v>
          </cell>
          <cell r="D2540" t="str">
            <v>Reham Maher</v>
          </cell>
        </row>
        <row r="2541">
          <cell r="A2541" t="str">
            <v>كافية يلا باي</v>
          </cell>
          <cell r="B2541" t="str">
            <v>Horeca Smart</v>
          </cell>
          <cell r="C2541" t="str">
            <v xml:space="preserve">عملاء كاش </v>
          </cell>
          <cell r="D2541" t="str">
            <v>Naden Amgad</v>
          </cell>
        </row>
        <row r="2542">
          <cell r="A2542" t="str">
            <v>كافيتريا تشاو جامعة أسنان</v>
          </cell>
          <cell r="B2542" t="str">
            <v>Horeca Smart</v>
          </cell>
          <cell r="C2542" t="str">
            <v xml:space="preserve">عملاء كاش </v>
          </cell>
          <cell r="D2542" t="str">
            <v>Donia Khaled</v>
          </cell>
        </row>
        <row r="2543">
          <cell r="A2543" t="str">
            <v>كافيتيريا كومبو</v>
          </cell>
          <cell r="B2543" t="str">
            <v>Horeca Smart</v>
          </cell>
          <cell r="C2543" t="str">
            <v xml:space="preserve">عملاء كاش </v>
          </cell>
          <cell r="D2543" t="str">
            <v>Donia Khaled</v>
          </cell>
        </row>
        <row r="2544">
          <cell r="A2544" t="str">
            <v>كافيه +90</v>
          </cell>
          <cell r="B2544" t="str">
            <v>Horeca Smart</v>
          </cell>
          <cell r="C2544" t="str">
            <v xml:space="preserve">عملاء كاش </v>
          </cell>
          <cell r="D2544" t="str">
            <v>Lames Magdy</v>
          </cell>
        </row>
        <row r="2545">
          <cell r="A2545" t="str">
            <v>كافيه 911</v>
          </cell>
          <cell r="B2545" t="str">
            <v>Horeca Smart</v>
          </cell>
          <cell r="C2545" t="str">
            <v xml:space="preserve">عملاء كاش </v>
          </cell>
          <cell r="D2545" t="str">
            <v>Donia Khaled</v>
          </cell>
        </row>
        <row r="2546">
          <cell r="A2546" t="str">
            <v>كافيه 911 -مدينة نصر</v>
          </cell>
          <cell r="B2546" t="str">
            <v>Horeca Smart</v>
          </cell>
          <cell r="C2546" t="str">
            <v xml:space="preserve">عملاء كاش </v>
          </cell>
          <cell r="D2546" t="str">
            <v>Lames Magdy</v>
          </cell>
        </row>
        <row r="2547">
          <cell r="A2547" t="str">
            <v>كافيه أرابيسك</v>
          </cell>
          <cell r="B2547" t="str">
            <v>Horeca Smart</v>
          </cell>
          <cell r="C2547" t="str">
            <v xml:space="preserve">عملاء كاش </v>
          </cell>
          <cell r="D2547" t="str">
            <v>Lames Magdy</v>
          </cell>
        </row>
        <row r="2548">
          <cell r="A2548" t="str">
            <v>كافيه أسهر معانا</v>
          </cell>
          <cell r="B2548" t="str">
            <v>Horeca Smart</v>
          </cell>
          <cell r="C2548" t="str">
            <v xml:space="preserve">عملاء كاش </v>
          </cell>
          <cell r="D2548" t="str">
            <v>Lames Magdy</v>
          </cell>
        </row>
        <row r="2549">
          <cell r="A2549" t="str">
            <v>كافيه أفندينا</v>
          </cell>
          <cell r="B2549" t="str">
            <v>Horeca Smart</v>
          </cell>
          <cell r="C2549" t="str">
            <v xml:space="preserve">عملاء كاش </v>
          </cell>
          <cell r="D2549" t="str">
            <v>Lames Magdy</v>
          </cell>
        </row>
        <row r="2550">
          <cell r="A2550" t="str">
            <v>كافيه أهل كايرو</v>
          </cell>
          <cell r="B2550" t="str">
            <v>Horeca Smart</v>
          </cell>
          <cell r="C2550" t="str">
            <v xml:space="preserve">عملاء كاش </v>
          </cell>
          <cell r="D2550" t="str">
            <v>Lames Magdy</v>
          </cell>
        </row>
        <row r="2551">
          <cell r="A2551" t="str">
            <v>كافيه ادم</v>
          </cell>
          <cell r="B2551" t="str">
            <v>Horeca Smart</v>
          </cell>
          <cell r="C2551" t="str">
            <v xml:space="preserve">عملاء كاش </v>
          </cell>
          <cell r="D2551" t="str">
            <v>Reham Maher</v>
          </cell>
        </row>
        <row r="2552">
          <cell r="A2552" t="str">
            <v>كافيه ارابيان</v>
          </cell>
          <cell r="B2552" t="str">
            <v>Horeca Smart</v>
          </cell>
          <cell r="C2552" t="str">
            <v xml:space="preserve">عملاء كاش </v>
          </cell>
          <cell r="D2552" t="str">
            <v>Naden Amgad</v>
          </cell>
        </row>
        <row r="2553">
          <cell r="A2553" t="str">
            <v>كافيه الاندلس</v>
          </cell>
          <cell r="B2553" t="str">
            <v>Horeca Smart</v>
          </cell>
          <cell r="C2553" t="str">
            <v xml:space="preserve">عملاء كاش </v>
          </cell>
          <cell r="D2553" t="str">
            <v>Donia Khaled</v>
          </cell>
        </row>
        <row r="2554">
          <cell r="A2554" t="str">
            <v>كافيه البر الغربي</v>
          </cell>
          <cell r="B2554" t="str">
            <v>Horeca Smart</v>
          </cell>
          <cell r="C2554" t="str">
            <v xml:space="preserve">عملاء كاش </v>
          </cell>
          <cell r="D2554" t="str">
            <v>Naden Amgad</v>
          </cell>
        </row>
        <row r="2555">
          <cell r="A2555" t="str">
            <v>كافيه البيت الكبير</v>
          </cell>
          <cell r="B2555" t="str">
            <v>Horeca Smart</v>
          </cell>
          <cell r="C2555" t="str">
            <v xml:space="preserve">عملاء كاش </v>
          </cell>
          <cell r="D2555" t="str">
            <v>Donia Khaled</v>
          </cell>
        </row>
        <row r="2556">
          <cell r="A2556" t="str">
            <v>كافيه التكية</v>
          </cell>
          <cell r="B2556" t="str">
            <v>Horeca Smart</v>
          </cell>
          <cell r="C2556" t="str">
            <v xml:space="preserve">عملاء كاش </v>
          </cell>
          <cell r="D2556" t="str">
            <v>Naden Amgad</v>
          </cell>
        </row>
        <row r="2557">
          <cell r="A2557" t="str">
            <v>كافيه التيكية</v>
          </cell>
          <cell r="B2557" t="str">
            <v>Horeca Smart</v>
          </cell>
          <cell r="C2557" t="str">
            <v xml:space="preserve">عملاء كاش </v>
          </cell>
          <cell r="D2557" t="str">
            <v>Naden Amgad</v>
          </cell>
        </row>
        <row r="2558">
          <cell r="A2558" t="str">
            <v>كافيه الجونة</v>
          </cell>
          <cell r="B2558" t="str">
            <v>Horeca Smart</v>
          </cell>
          <cell r="C2558" t="str">
            <v xml:space="preserve">عملاء كاش </v>
          </cell>
          <cell r="D2558" t="str">
            <v>Naden Amgad</v>
          </cell>
        </row>
        <row r="2559">
          <cell r="A2559" t="str">
            <v>كافيه الجوهرة</v>
          </cell>
          <cell r="B2559" t="str">
            <v>Horeca Smart</v>
          </cell>
          <cell r="C2559" t="str">
            <v xml:space="preserve">عملاء كاش </v>
          </cell>
          <cell r="D2559" t="str">
            <v>Donia Khaled</v>
          </cell>
        </row>
        <row r="2560">
          <cell r="A2560" t="str">
            <v>كافيه الخان</v>
          </cell>
          <cell r="B2560" t="str">
            <v>Horeca Smart</v>
          </cell>
          <cell r="C2560" t="str">
            <v xml:space="preserve">عملاء كاش </v>
          </cell>
          <cell r="D2560" t="str">
            <v>Donia Khaled</v>
          </cell>
        </row>
        <row r="2561">
          <cell r="A2561" t="str">
            <v>كافيه الزعيم</v>
          </cell>
          <cell r="B2561" t="str">
            <v>Horeca Smart</v>
          </cell>
          <cell r="C2561" t="str">
            <v xml:space="preserve">عملاء كاش </v>
          </cell>
          <cell r="D2561" t="str">
            <v>Rasha Hassan</v>
          </cell>
        </row>
        <row r="2562">
          <cell r="A2562" t="str">
            <v>كافيه السرايا</v>
          </cell>
          <cell r="B2562" t="str">
            <v>Horeca Smart</v>
          </cell>
          <cell r="C2562" t="str">
            <v xml:space="preserve">عملاء كاش </v>
          </cell>
          <cell r="D2562" t="str">
            <v>Reham Maher</v>
          </cell>
        </row>
        <row r="2563">
          <cell r="A2563" t="str">
            <v>كافيه السلام</v>
          </cell>
          <cell r="B2563" t="str">
            <v>Horeca Smart</v>
          </cell>
          <cell r="C2563" t="str">
            <v xml:space="preserve">عملاء كاش </v>
          </cell>
          <cell r="D2563" t="str">
            <v>Reham Maher</v>
          </cell>
        </row>
        <row r="2564">
          <cell r="A2564" t="str">
            <v>كافيه السمسمية</v>
          </cell>
          <cell r="B2564" t="str">
            <v>Horeca Smart</v>
          </cell>
          <cell r="C2564" t="str">
            <v xml:space="preserve">عملاء كاش </v>
          </cell>
          <cell r="D2564" t="str">
            <v>Reham Maher</v>
          </cell>
        </row>
        <row r="2565">
          <cell r="A2565" t="str">
            <v>كافيه الضيافه</v>
          </cell>
          <cell r="B2565" t="str">
            <v>Horeca Smart</v>
          </cell>
          <cell r="C2565" t="str">
            <v xml:space="preserve">عملاء كاش </v>
          </cell>
          <cell r="D2565" t="str">
            <v>Donia Khaled</v>
          </cell>
        </row>
        <row r="2566">
          <cell r="A2566" t="str">
            <v>كافيه العالمي</v>
          </cell>
          <cell r="B2566" t="str">
            <v>Horeca Smart</v>
          </cell>
          <cell r="C2566" t="str">
            <v xml:space="preserve">عملاء كاش </v>
          </cell>
          <cell r="D2566" t="str">
            <v>Donia Khaled</v>
          </cell>
        </row>
        <row r="2567">
          <cell r="A2567" t="str">
            <v>كافيه العمدة</v>
          </cell>
          <cell r="B2567" t="str">
            <v>Horeca Smart</v>
          </cell>
          <cell r="C2567" t="str">
            <v xml:space="preserve">عملاء كاش </v>
          </cell>
          <cell r="D2567" t="str">
            <v>Reham Maher</v>
          </cell>
        </row>
        <row r="2568">
          <cell r="A2568" t="str">
            <v>كافيه الكشك</v>
          </cell>
          <cell r="B2568" t="str">
            <v>Horeca Smart</v>
          </cell>
          <cell r="C2568" t="str">
            <v xml:space="preserve">عملاء كاش </v>
          </cell>
          <cell r="D2568" t="str">
            <v>Donia Khaled</v>
          </cell>
        </row>
        <row r="2569">
          <cell r="A2569" t="str">
            <v>كافيه المحروسة</v>
          </cell>
          <cell r="B2569" t="str">
            <v>Horeca Smart</v>
          </cell>
          <cell r="C2569" t="str">
            <v xml:space="preserve">عملاء كاش </v>
          </cell>
          <cell r="D2569" t="str">
            <v>Reham Maher</v>
          </cell>
        </row>
        <row r="2570">
          <cell r="A2570" t="str">
            <v>كافيه المحروسة, كافيه المحروسة, كافيه المحروسة - مصر الجديدة</v>
          </cell>
          <cell r="B2570" t="str">
            <v>Horeca Smart</v>
          </cell>
          <cell r="C2570" t="str">
            <v xml:space="preserve">عملاء كاش </v>
          </cell>
          <cell r="D2570" t="str">
            <v>Donia Khaled</v>
          </cell>
        </row>
        <row r="2571">
          <cell r="A2571" t="str">
            <v>كافيه المحروسة, كافيه المحروسة, كافيه المحروسة -العمرانية</v>
          </cell>
          <cell r="B2571" t="str">
            <v>Horeca Smart</v>
          </cell>
          <cell r="C2571" t="str">
            <v xml:space="preserve">عملاء كاش </v>
          </cell>
          <cell r="D2571" t="str">
            <v>Naden Amgad</v>
          </cell>
        </row>
        <row r="2572">
          <cell r="A2572" t="str">
            <v>كافيه المحروسة, كافيه المحروسة, كافيه المحروسة, كافيه المحروسة -مدينة نصر</v>
          </cell>
          <cell r="B2572" t="str">
            <v>Horeca Smart</v>
          </cell>
          <cell r="C2572" t="str">
            <v xml:space="preserve">عملاء كاش </v>
          </cell>
          <cell r="D2572" t="str">
            <v>Reham Maher</v>
          </cell>
        </row>
        <row r="2573">
          <cell r="A2573" t="str">
            <v>كافيه المغربي</v>
          </cell>
          <cell r="B2573" t="str">
            <v>Horeca Smart</v>
          </cell>
          <cell r="C2573" t="str">
            <v xml:space="preserve">عملاء كاش </v>
          </cell>
          <cell r="D2573" t="str">
            <v>Reham Maher</v>
          </cell>
        </row>
        <row r="2574">
          <cell r="A2574" t="str">
            <v>كافيه الملعب</v>
          </cell>
          <cell r="B2574" t="str">
            <v>Horeca Smart</v>
          </cell>
          <cell r="C2574" t="str">
            <v xml:space="preserve">عملاء كاش </v>
          </cell>
          <cell r="D2574" t="str">
            <v>Reham Maher</v>
          </cell>
        </row>
        <row r="2575">
          <cell r="A2575" t="str">
            <v>كافيه الملكه</v>
          </cell>
          <cell r="B2575" t="str">
            <v>Horeca Smart</v>
          </cell>
          <cell r="C2575" t="str">
            <v xml:space="preserve">عملاء كاش </v>
          </cell>
          <cell r="D2575" t="str">
            <v>Naden Amgad</v>
          </cell>
        </row>
        <row r="2576">
          <cell r="A2576" t="str">
            <v>كافيه الممر</v>
          </cell>
          <cell r="B2576" t="str">
            <v>Horeca Smart</v>
          </cell>
          <cell r="C2576" t="str">
            <v xml:space="preserve">عملاء كاش </v>
          </cell>
          <cell r="D2576" t="str">
            <v>Donia Khaled</v>
          </cell>
        </row>
        <row r="2577">
          <cell r="A2577" t="str">
            <v>كافيه المنشاوي</v>
          </cell>
          <cell r="B2577" t="str">
            <v>Horeca Smart</v>
          </cell>
          <cell r="C2577" t="str">
            <v xml:space="preserve">عملاء كاش </v>
          </cell>
          <cell r="D2577" t="str">
            <v>Donia Khaled</v>
          </cell>
        </row>
        <row r="2578">
          <cell r="A2578" t="str">
            <v>كافيه المهندس</v>
          </cell>
          <cell r="B2578" t="str">
            <v>Horeca Smart</v>
          </cell>
          <cell r="C2578" t="str">
            <v xml:space="preserve">عملاء كاش </v>
          </cell>
          <cell r="D2578" t="str">
            <v>Naden Amgad</v>
          </cell>
        </row>
        <row r="2579">
          <cell r="A2579" t="str">
            <v>كافيه النورس</v>
          </cell>
          <cell r="B2579" t="str">
            <v>Horeca Smart</v>
          </cell>
          <cell r="C2579" t="str">
            <v xml:space="preserve">عملاء كاش </v>
          </cell>
          <cell r="D2579" t="str">
            <v>Reham Maher</v>
          </cell>
        </row>
        <row r="2580">
          <cell r="A2580" t="str">
            <v>كافيه النورس, كافيه النورس, كافيه النورس - الحى العاشر</v>
          </cell>
          <cell r="B2580" t="str">
            <v>Horeca Smart</v>
          </cell>
          <cell r="C2580" t="str">
            <v xml:space="preserve">عملاء كاش </v>
          </cell>
          <cell r="D2580" t="str">
            <v>Reham Maher</v>
          </cell>
        </row>
        <row r="2581">
          <cell r="A2581" t="str">
            <v>كافيه النورس, كافيه النورس, كافيه النورس - المنطقة التاسعة</v>
          </cell>
          <cell r="B2581" t="str">
            <v>Horeca Smart</v>
          </cell>
          <cell r="C2581" t="str">
            <v xml:space="preserve">عملاء كاش </v>
          </cell>
          <cell r="D2581" t="str">
            <v>Reham Maher</v>
          </cell>
        </row>
        <row r="2582">
          <cell r="A2582" t="str">
            <v>كافيه النورس, كافيه النورس, كافيه النورس, كافيه النورس 2</v>
          </cell>
          <cell r="B2582" t="str">
            <v>Horeca Smart</v>
          </cell>
          <cell r="C2582" t="str">
            <v xml:space="preserve">عملاء كاش </v>
          </cell>
          <cell r="D2582" t="str">
            <v>Reham Maher</v>
          </cell>
        </row>
        <row r="2583">
          <cell r="A2583" t="str">
            <v>كافيه الوسيه</v>
          </cell>
          <cell r="B2583" t="str">
            <v>Horeca Smart</v>
          </cell>
          <cell r="C2583" t="str">
            <v xml:space="preserve">عملاء كاش </v>
          </cell>
          <cell r="D2583" t="str">
            <v>Reham Maher</v>
          </cell>
        </row>
        <row r="2584">
          <cell r="A2584" t="str">
            <v>كافيه اليجانس</v>
          </cell>
          <cell r="B2584" t="str">
            <v>Horeca Smart</v>
          </cell>
          <cell r="C2584" t="str">
            <v xml:space="preserve">عملاء كاش </v>
          </cell>
          <cell r="D2584" t="str">
            <v>Lames Magdy</v>
          </cell>
        </row>
        <row r="2585">
          <cell r="A2585" t="str">
            <v>كافيه ام كلثوم</v>
          </cell>
          <cell r="B2585" t="str">
            <v>Horeca Smart</v>
          </cell>
          <cell r="C2585" t="str">
            <v xml:space="preserve">عملاء كاش </v>
          </cell>
          <cell r="D2585" t="str">
            <v>Reham Maher</v>
          </cell>
        </row>
        <row r="2586">
          <cell r="A2586" t="str">
            <v>كافيه ام كلثوم _ مصر الجديدة</v>
          </cell>
          <cell r="B2586" t="str">
            <v>Horeca Smart</v>
          </cell>
          <cell r="C2586" t="str">
            <v xml:space="preserve">عملاء كاش </v>
          </cell>
          <cell r="D2586" t="str">
            <v>Donia Khaled</v>
          </cell>
        </row>
        <row r="2587">
          <cell r="A2587" t="str">
            <v>كافيه ايام زمان</v>
          </cell>
          <cell r="B2587" t="str">
            <v>Horeca Smart</v>
          </cell>
          <cell r="C2587" t="str">
            <v xml:space="preserve">عملاء كاش </v>
          </cell>
          <cell r="D2587" t="str">
            <v>Donia Khaled</v>
          </cell>
        </row>
        <row r="2588">
          <cell r="A2588" t="str">
            <v>كافيه باباروتى</v>
          </cell>
          <cell r="B2588" t="str">
            <v>Horeca Smart</v>
          </cell>
          <cell r="C2588" t="str">
            <v xml:space="preserve">عملاء كاش </v>
          </cell>
          <cell r="D2588" t="str">
            <v>Naden Amgad</v>
          </cell>
        </row>
        <row r="2589">
          <cell r="A2589" t="str">
            <v>كافيه براون بينس</v>
          </cell>
          <cell r="B2589" t="str">
            <v>Horeca Smart</v>
          </cell>
          <cell r="C2589" t="str">
            <v xml:space="preserve">عملاء كاش </v>
          </cell>
          <cell r="D2589" t="str">
            <v>Donia Khaled</v>
          </cell>
        </row>
        <row r="2590">
          <cell r="A2590" t="str">
            <v>كافيه بسنت</v>
          </cell>
          <cell r="B2590" t="str">
            <v>Horeca Smart</v>
          </cell>
          <cell r="C2590" t="str">
            <v xml:space="preserve">عملاء كاش </v>
          </cell>
          <cell r="D2590" t="str">
            <v>Donia Khaled</v>
          </cell>
        </row>
        <row r="2591">
          <cell r="A2591" t="str">
            <v>كافيه بفكر</v>
          </cell>
          <cell r="B2591" t="str">
            <v>Horeca Smart</v>
          </cell>
          <cell r="C2591" t="str">
            <v xml:space="preserve">عملاء كاش </v>
          </cell>
          <cell r="D2591" t="str">
            <v>Donia Khaled</v>
          </cell>
        </row>
        <row r="2592">
          <cell r="A2592" t="str">
            <v>كافيه بلازا</v>
          </cell>
          <cell r="B2592" t="str">
            <v>Horeca Smart</v>
          </cell>
          <cell r="C2592" t="str">
            <v xml:space="preserve">عملاء كاش </v>
          </cell>
          <cell r="D2592" t="str">
            <v>Donia Khaled</v>
          </cell>
        </row>
        <row r="2593">
          <cell r="A2593" t="str">
            <v>كافيه بلكونه</v>
          </cell>
          <cell r="B2593" t="str">
            <v>Horeca Smart</v>
          </cell>
          <cell r="C2593" t="str">
            <v xml:space="preserve">عملاء كاش </v>
          </cell>
          <cell r="D2593" t="str">
            <v>Donia Khaled</v>
          </cell>
        </row>
        <row r="2594">
          <cell r="A2594" t="str">
            <v>كافيه بن كيان</v>
          </cell>
          <cell r="B2594" t="str">
            <v>Horeca Smart</v>
          </cell>
          <cell r="C2594" t="str">
            <v xml:space="preserve">عملاء كاش </v>
          </cell>
          <cell r="D2594" t="str">
            <v>Lames Magdy</v>
          </cell>
        </row>
        <row r="2595">
          <cell r="A2595" t="str">
            <v>كافيه بن يافا</v>
          </cell>
          <cell r="B2595" t="str">
            <v>Horeca Smart</v>
          </cell>
          <cell r="C2595" t="str">
            <v xml:space="preserve">عملاء كاش </v>
          </cell>
          <cell r="D2595" t="str">
            <v>Lames Magdy</v>
          </cell>
        </row>
        <row r="2596">
          <cell r="A2596" t="str">
            <v>كافيه بودا</v>
          </cell>
          <cell r="B2596" t="str">
            <v>Horeca Smart</v>
          </cell>
          <cell r="C2596" t="str">
            <v xml:space="preserve">عملاء كاش </v>
          </cell>
          <cell r="D2596" t="str">
            <v>Donia Khaled</v>
          </cell>
        </row>
        <row r="2597">
          <cell r="A2597" t="str">
            <v>كافيه بيت العقاد</v>
          </cell>
          <cell r="B2597" t="str">
            <v>Horeca Smart</v>
          </cell>
          <cell r="C2597" t="str">
            <v xml:space="preserve">عملاء كاش </v>
          </cell>
          <cell r="D2597" t="str">
            <v>Donia Khaled</v>
          </cell>
        </row>
        <row r="2598">
          <cell r="A2598" t="str">
            <v>كافيه بيروت</v>
          </cell>
          <cell r="B2598" t="str">
            <v>Horeca Smart</v>
          </cell>
          <cell r="C2598" t="str">
            <v xml:space="preserve">عملاء كاش </v>
          </cell>
          <cell r="D2598" t="str">
            <v>Reham Maher</v>
          </cell>
        </row>
        <row r="2599">
          <cell r="A2599" t="str">
            <v>كافيه تالنت, كافيه تالنت, أبو الريش أكتوبر</v>
          </cell>
          <cell r="B2599" t="str">
            <v>Horeca Smart</v>
          </cell>
          <cell r="C2599" t="str">
            <v xml:space="preserve">عملاء كاش </v>
          </cell>
          <cell r="D2599" t="str">
            <v>Mona Mohamed</v>
          </cell>
        </row>
        <row r="2600">
          <cell r="A2600" t="str">
            <v>كافيه تالنت, كافيه تالنت, الألف مصنع</v>
          </cell>
          <cell r="B2600" t="str">
            <v>Horeca Smart</v>
          </cell>
          <cell r="C2600" t="str">
            <v xml:space="preserve">عملاء كاش </v>
          </cell>
          <cell r="D2600" t="str">
            <v>Mona Mohamed</v>
          </cell>
        </row>
        <row r="2601">
          <cell r="A2601" t="str">
            <v>كافيه تالنت, كافيه تالنت, الكوربه</v>
          </cell>
          <cell r="B2601" t="str">
            <v>Horeca Smart</v>
          </cell>
          <cell r="C2601" t="str">
            <v xml:space="preserve">عملاء كاش </v>
          </cell>
          <cell r="D2601" t="str">
            <v>Mona Mohamed</v>
          </cell>
        </row>
        <row r="2602">
          <cell r="A2602" t="str">
            <v>كافيه تالنت, كافيه تالنت, الوراق</v>
          </cell>
          <cell r="B2602" t="str">
            <v>Horeca Smart</v>
          </cell>
          <cell r="C2602" t="str">
            <v xml:space="preserve">عملاء كاش </v>
          </cell>
          <cell r="D2602" t="str">
            <v>Mona Mohamed</v>
          </cell>
        </row>
        <row r="2603">
          <cell r="A2603" t="str">
            <v>كافيه تالنت, كافيه تالنت, فرع سمارت سوليوشنز</v>
          </cell>
          <cell r="B2603" t="str">
            <v>Horeca Smart</v>
          </cell>
          <cell r="C2603" t="str">
            <v xml:space="preserve">عملاء كاش </v>
          </cell>
          <cell r="D2603" t="str">
            <v>Mona Mohamed</v>
          </cell>
        </row>
        <row r="2604">
          <cell r="A2604" t="str">
            <v>كافيه تالنت, كافيه تالنت, مدينة نصر</v>
          </cell>
          <cell r="B2604" t="str">
            <v>Horeca Smart</v>
          </cell>
          <cell r="C2604" t="str">
            <v xml:space="preserve">عملاء كاش </v>
          </cell>
          <cell r="D2604" t="str">
            <v>Mona Mohamed</v>
          </cell>
        </row>
        <row r="2605">
          <cell r="A2605" t="str">
            <v>كافيه تالنت, كافيه تالنت, مكرم عبيد</v>
          </cell>
          <cell r="B2605" t="str">
            <v>Horeca Smart</v>
          </cell>
          <cell r="C2605" t="str">
            <v xml:space="preserve">عملاء كاش </v>
          </cell>
          <cell r="D2605" t="str">
            <v>Mona Mohamed</v>
          </cell>
        </row>
        <row r="2606">
          <cell r="A2606" t="str">
            <v>كافيه تحويجه</v>
          </cell>
          <cell r="B2606" t="str">
            <v>Horeca Smart</v>
          </cell>
          <cell r="C2606" t="str">
            <v xml:space="preserve">عملاء كاش </v>
          </cell>
          <cell r="D2606" t="str">
            <v>Donia Khaled</v>
          </cell>
        </row>
        <row r="2607">
          <cell r="A2607" t="str">
            <v>كافيه تماسي</v>
          </cell>
          <cell r="B2607" t="str">
            <v>Horeca Smart</v>
          </cell>
          <cell r="C2607" t="str">
            <v xml:space="preserve">عملاء كاش </v>
          </cell>
          <cell r="D2607" t="str">
            <v>Reham Maher</v>
          </cell>
        </row>
        <row r="2608">
          <cell r="A2608" t="str">
            <v>كافيه توست</v>
          </cell>
          <cell r="B2608" t="str">
            <v>Horeca Smart</v>
          </cell>
          <cell r="C2608" t="str">
            <v xml:space="preserve">عملاء كاش </v>
          </cell>
          <cell r="D2608" t="str">
            <v>Donia Khaled</v>
          </cell>
        </row>
        <row r="2609">
          <cell r="A2609" t="str">
            <v>كافيه توست, كافيه توست, كافيه توست - الزيتون</v>
          </cell>
          <cell r="B2609" t="str">
            <v>Horeca Smart</v>
          </cell>
          <cell r="C2609" t="str">
            <v xml:space="preserve">عملاء كاش </v>
          </cell>
          <cell r="D2609" t="str">
            <v>Donia Khaled</v>
          </cell>
        </row>
        <row r="2610">
          <cell r="A2610" t="str">
            <v>كافيه توست, كافيه توست, كافيه توست -مصر الجديدة</v>
          </cell>
          <cell r="B2610" t="str">
            <v>Horeca Smart</v>
          </cell>
          <cell r="C2610" t="str">
            <v xml:space="preserve">عملاء كاش </v>
          </cell>
          <cell r="D2610" t="str">
            <v>Donia Khaled</v>
          </cell>
        </row>
        <row r="2611">
          <cell r="A2611" t="str">
            <v>كافيه تولين</v>
          </cell>
          <cell r="B2611" t="str">
            <v>Horeca Smart</v>
          </cell>
          <cell r="C2611" t="str">
            <v xml:space="preserve">عملاء كاش </v>
          </cell>
          <cell r="D2611" t="str">
            <v>Naden Amgad</v>
          </cell>
        </row>
        <row r="2612">
          <cell r="A2612" t="str">
            <v>كافيه جافا</v>
          </cell>
          <cell r="B2612" t="str">
            <v>Horeca Smart</v>
          </cell>
          <cell r="C2612" t="str">
            <v xml:space="preserve">عملاء كاش </v>
          </cell>
          <cell r="D2612" t="str">
            <v>Reham Maher</v>
          </cell>
        </row>
        <row r="2613">
          <cell r="A2613" t="str">
            <v>كافيه جدو</v>
          </cell>
          <cell r="B2613" t="str">
            <v>Horeca Smart</v>
          </cell>
          <cell r="C2613" t="str">
            <v xml:space="preserve">عملاء كاش </v>
          </cell>
          <cell r="D2613" t="str">
            <v>Reham Maher</v>
          </cell>
        </row>
        <row r="2614">
          <cell r="A2614" t="str">
            <v>كافيه جدو عكاشه</v>
          </cell>
          <cell r="B2614" t="str">
            <v>Horeca Smart</v>
          </cell>
          <cell r="C2614" t="str">
            <v xml:space="preserve">عملاء كاش </v>
          </cell>
          <cell r="D2614" t="str">
            <v>Reham Maher</v>
          </cell>
        </row>
        <row r="2615">
          <cell r="A2615" t="str">
            <v>كافيه جرامافوث</v>
          </cell>
          <cell r="B2615" t="str">
            <v>Horeca Smart</v>
          </cell>
          <cell r="C2615" t="str">
            <v xml:space="preserve">عملاء كاش </v>
          </cell>
          <cell r="D2615" t="str">
            <v>Donia Khaled</v>
          </cell>
        </row>
        <row r="2616">
          <cell r="A2616" t="str">
            <v>كافيه جليلا</v>
          </cell>
          <cell r="B2616" t="str">
            <v>Horeca Smart</v>
          </cell>
          <cell r="C2616" t="str">
            <v xml:space="preserve">عملاء كاش </v>
          </cell>
          <cell r="D2616" t="str">
            <v>Donia Khaled</v>
          </cell>
        </row>
        <row r="2617">
          <cell r="A2617" t="str">
            <v>كافيه جونس</v>
          </cell>
          <cell r="B2617" t="str">
            <v>Horeca Smart</v>
          </cell>
          <cell r="C2617" t="str">
            <v xml:space="preserve">عملاء كاش </v>
          </cell>
          <cell r="D2617" t="str">
            <v>Donia Khaled</v>
          </cell>
        </row>
        <row r="2618">
          <cell r="A2618" t="str">
            <v>كافيه حبيبة</v>
          </cell>
          <cell r="B2618" t="str">
            <v>Horeca Smart</v>
          </cell>
          <cell r="C2618" t="str">
            <v xml:space="preserve">عملاء كاش </v>
          </cell>
          <cell r="D2618" t="str">
            <v>Lames Magdy</v>
          </cell>
        </row>
        <row r="2619">
          <cell r="A2619" t="str">
            <v>كافيه حجاج</v>
          </cell>
          <cell r="B2619" t="str">
            <v>Horeca Smart</v>
          </cell>
          <cell r="C2619" t="str">
            <v xml:space="preserve">عملاء كاش </v>
          </cell>
          <cell r="D2619" t="str">
            <v>Naden Amgad</v>
          </cell>
        </row>
        <row r="2620">
          <cell r="A2620" t="str">
            <v>كافيه حدوتة مصرية</v>
          </cell>
          <cell r="B2620" t="str">
            <v>Horeca Smart</v>
          </cell>
          <cell r="C2620" t="str">
            <v xml:space="preserve">عملاء كاش </v>
          </cell>
          <cell r="D2620" t="str">
            <v>Donia Khaled</v>
          </cell>
        </row>
        <row r="2621">
          <cell r="A2621" t="str">
            <v>كافيه حياه</v>
          </cell>
          <cell r="B2621" t="str">
            <v>Horeca Smart</v>
          </cell>
          <cell r="C2621" t="str">
            <v xml:space="preserve">عملاء كاش </v>
          </cell>
          <cell r="D2621" t="str">
            <v>Donia Khaled</v>
          </cell>
        </row>
        <row r="2622">
          <cell r="A2622" t="str">
            <v>كافيه درويشه</v>
          </cell>
          <cell r="B2622" t="str">
            <v>Horeca Smart</v>
          </cell>
          <cell r="C2622" t="str">
            <v xml:space="preserve">عملاء كاش </v>
          </cell>
          <cell r="D2622" t="str">
            <v>Reham Maher</v>
          </cell>
        </row>
        <row r="2623">
          <cell r="A2623" t="str">
            <v>كافيه دريم</v>
          </cell>
          <cell r="B2623" t="str">
            <v>Horeca Smart</v>
          </cell>
          <cell r="C2623" t="str">
            <v xml:space="preserve">عملاء كاش </v>
          </cell>
          <cell r="D2623" t="str">
            <v>Donia Khaled</v>
          </cell>
        </row>
        <row r="2624">
          <cell r="A2624" t="str">
            <v>كافيه دكتور جوس</v>
          </cell>
          <cell r="B2624" t="str">
            <v>Horeca Smart</v>
          </cell>
          <cell r="C2624" t="str">
            <v xml:space="preserve">عملاء كاش </v>
          </cell>
          <cell r="D2624" t="str">
            <v>Naden Amgad</v>
          </cell>
        </row>
        <row r="2625">
          <cell r="A2625" t="str">
            <v>كافيه دلة العرب</v>
          </cell>
          <cell r="B2625" t="str">
            <v>Horeca Smart</v>
          </cell>
          <cell r="C2625" t="str">
            <v xml:space="preserve">عملاء كاش </v>
          </cell>
          <cell r="D2625" t="str">
            <v>Naden Amgad</v>
          </cell>
        </row>
        <row r="2626">
          <cell r="A2626" t="str">
            <v>كافيه رؤية</v>
          </cell>
          <cell r="B2626" t="str">
            <v>Horeca Smart</v>
          </cell>
          <cell r="C2626" t="str">
            <v xml:space="preserve">عملاء كاش </v>
          </cell>
          <cell r="D2626" t="str">
            <v>Donia Khaled</v>
          </cell>
        </row>
        <row r="2627">
          <cell r="A2627" t="str">
            <v>كافيه راديو 90</v>
          </cell>
          <cell r="B2627" t="str">
            <v>Horeca Smart</v>
          </cell>
          <cell r="C2627" t="str">
            <v xml:space="preserve">عملاء كاش </v>
          </cell>
          <cell r="D2627" t="str">
            <v>Donia Khaled</v>
          </cell>
        </row>
        <row r="2628">
          <cell r="A2628" t="str">
            <v>كافيه رامي</v>
          </cell>
          <cell r="B2628" t="str">
            <v>Horeca Smart</v>
          </cell>
          <cell r="C2628" t="str">
            <v xml:space="preserve">عملاء كاش </v>
          </cell>
          <cell r="D2628" t="str">
            <v>Donia Khaled</v>
          </cell>
        </row>
        <row r="2629">
          <cell r="A2629" t="str">
            <v>كافيه روتانا</v>
          </cell>
          <cell r="B2629" t="str">
            <v>Horeca Smart</v>
          </cell>
          <cell r="C2629" t="str">
            <v xml:space="preserve">عملاء كاش </v>
          </cell>
          <cell r="D2629" t="str">
            <v>Reham Maher</v>
          </cell>
        </row>
        <row r="2630">
          <cell r="A2630" t="str">
            <v>كافيه روقان</v>
          </cell>
          <cell r="B2630" t="str">
            <v>Horeca Smart</v>
          </cell>
          <cell r="C2630" t="str">
            <v xml:space="preserve">عملاء كاش </v>
          </cell>
          <cell r="D2630" t="str">
            <v>Reham Maher</v>
          </cell>
        </row>
        <row r="2631">
          <cell r="A2631" t="str">
            <v>كافيه روما</v>
          </cell>
          <cell r="B2631" t="str">
            <v>Horeca Smart</v>
          </cell>
          <cell r="C2631" t="str">
            <v xml:space="preserve">عملاء كاش </v>
          </cell>
          <cell r="D2631" t="str">
            <v>Reham Maher</v>
          </cell>
        </row>
        <row r="2632">
          <cell r="A2632" t="str">
            <v>كافيه رومانتك</v>
          </cell>
          <cell r="B2632" t="str">
            <v>Horeca Smart</v>
          </cell>
          <cell r="C2632" t="str">
            <v xml:space="preserve">عملاء كاش </v>
          </cell>
          <cell r="D2632" t="str">
            <v>Donia Khaled</v>
          </cell>
        </row>
        <row r="2633">
          <cell r="A2633" t="str">
            <v>كافيه زحلقة</v>
          </cell>
          <cell r="B2633" t="str">
            <v>Horeca Smart</v>
          </cell>
          <cell r="C2633" t="str">
            <v xml:space="preserve">عملاء كاش </v>
          </cell>
          <cell r="D2633" t="str">
            <v>Donia Khaled</v>
          </cell>
        </row>
        <row r="2634">
          <cell r="A2634" t="str">
            <v>كافيه زلزال</v>
          </cell>
          <cell r="B2634" t="str">
            <v>Horeca Smart</v>
          </cell>
          <cell r="C2634" t="str">
            <v xml:space="preserve">عملاء كاش </v>
          </cell>
          <cell r="D2634" t="str">
            <v>Donia Khaled</v>
          </cell>
        </row>
        <row r="2635">
          <cell r="A2635" t="str">
            <v>كافيه ساعه لقلبك</v>
          </cell>
          <cell r="B2635" t="str">
            <v>Horeca Smart</v>
          </cell>
          <cell r="C2635" t="str">
            <v xml:space="preserve">عملاء كاش </v>
          </cell>
          <cell r="D2635" t="str">
            <v>Donia Khaled</v>
          </cell>
        </row>
        <row r="2636">
          <cell r="A2636" t="str">
            <v>كافيه ستار</v>
          </cell>
          <cell r="B2636" t="str">
            <v>Horeca Smart</v>
          </cell>
          <cell r="C2636" t="str">
            <v xml:space="preserve">عملاء كاش </v>
          </cell>
          <cell r="D2636" t="str">
            <v>Donia Khaled</v>
          </cell>
        </row>
        <row r="2637">
          <cell r="A2637" t="str">
            <v>كافيه سترانو</v>
          </cell>
          <cell r="B2637" t="str">
            <v>Horeca Smart</v>
          </cell>
          <cell r="C2637" t="str">
            <v xml:space="preserve">عملاء كاش </v>
          </cell>
          <cell r="D2637" t="str">
            <v>Reham Maher</v>
          </cell>
        </row>
        <row r="2638">
          <cell r="A2638" t="str">
            <v>كافيه سريانا</v>
          </cell>
          <cell r="B2638" t="str">
            <v>Horeca Smart</v>
          </cell>
          <cell r="C2638" t="str">
            <v xml:space="preserve">عملاء كاش </v>
          </cell>
          <cell r="D2638" t="str">
            <v>Mona Mohamed</v>
          </cell>
        </row>
        <row r="2639">
          <cell r="A2639" t="str">
            <v>كافيه سطلانه</v>
          </cell>
          <cell r="B2639" t="str">
            <v>Horeca Smart</v>
          </cell>
          <cell r="C2639" t="str">
            <v xml:space="preserve">عملاء كاش </v>
          </cell>
          <cell r="D2639" t="str">
            <v>Reham Maher</v>
          </cell>
        </row>
        <row r="2640">
          <cell r="A2640" t="str">
            <v>كافيه سفاري</v>
          </cell>
          <cell r="B2640" t="str">
            <v>Horeca Smart</v>
          </cell>
          <cell r="C2640" t="str">
            <v xml:space="preserve">عملاء كاش </v>
          </cell>
          <cell r="D2640" t="str">
            <v>Reham Maher</v>
          </cell>
        </row>
        <row r="2641">
          <cell r="A2641" t="str">
            <v>كافيه سكرة</v>
          </cell>
          <cell r="B2641" t="str">
            <v>Horeca Smart</v>
          </cell>
          <cell r="C2641" t="str">
            <v xml:space="preserve">عملاء كاش </v>
          </cell>
          <cell r="D2641" t="str">
            <v>Reham Maher</v>
          </cell>
        </row>
        <row r="2642">
          <cell r="A2642" t="str">
            <v>كافيه سكواد</v>
          </cell>
          <cell r="B2642" t="str">
            <v>Horeca Smart</v>
          </cell>
          <cell r="C2642" t="str">
            <v xml:space="preserve">عملاء كاش </v>
          </cell>
          <cell r="D2642" t="str">
            <v>Reham Maher</v>
          </cell>
        </row>
        <row r="2643">
          <cell r="A2643" t="str">
            <v>كافيه سماء بيروت</v>
          </cell>
          <cell r="B2643" t="str">
            <v>Horeca Smart</v>
          </cell>
          <cell r="C2643" t="str">
            <v xml:space="preserve">عملاء كاش </v>
          </cell>
          <cell r="D2643" t="str">
            <v>Naden Amgad</v>
          </cell>
        </row>
        <row r="2644">
          <cell r="A2644" t="str">
            <v>كافيه سوشيال</v>
          </cell>
          <cell r="B2644" t="str">
            <v>Horeca Smart</v>
          </cell>
          <cell r="C2644" t="str">
            <v xml:space="preserve">عملاء كاش </v>
          </cell>
          <cell r="D2644" t="str">
            <v>Donia Khaled</v>
          </cell>
        </row>
        <row r="2645">
          <cell r="A2645" t="str">
            <v>كافيه سي عمر</v>
          </cell>
          <cell r="B2645" t="str">
            <v>Horeca Smart</v>
          </cell>
          <cell r="C2645" t="str">
            <v xml:space="preserve">عملاء كاش </v>
          </cell>
          <cell r="D2645" t="str">
            <v>Reham Maher</v>
          </cell>
        </row>
        <row r="2646">
          <cell r="A2646" t="str">
            <v>كافيه سي عمر - الزيتون</v>
          </cell>
          <cell r="B2646" t="str">
            <v>Horeca Smart</v>
          </cell>
          <cell r="C2646" t="str">
            <v xml:space="preserve">عملاء كاش </v>
          </cell>
          <cell r="D2646" t="str">
            <v>Donia Khaled</v>
          </cell>
        </row>
        <row r="2647">
          <cell r="A2647" t="str">
            <v>كافيه شبابيبك</v>
          </cell>
          <cell r="B2647" t="str">
            <v>Horeca Smart</v>
          </cell>
          <cell r="C2647" t="str">
            <v xml:space="preserve">عملاء كاش </v>
          </cell>
          <cell r="D2647" t="str">
            <v>Donia Khaled</v>
          </cell>
        </row>
        <row r="2648">
          <cell r="A2648" t="str">
            <v>كافيه شتورا</v>
          </cell>
          <cell r="B2648" t="str">
            <v>Horeca Smart</v>
          </cell>
          <cell r="C2648" t="str">
            <v xml:space="preserve">عملاء كاش </v>
          </cell>
          <cell r="D2648" t="str">
            <v>Donia Khaled</v>
          </cell>
        </row>
        <row r="2649">
          <cell r="A2649" t="str">
            <v>كافيه شير اب</v>
          </cell>
          <cell r="B2649" t="str">
            <v>Horeca Smart</v>
          </cell>
          <cell r="C2649" t="str">
            <v xml:space="preserve">عملاء كاش </v>
          </cell>
          <cell r="D2649" t="str">
            <v>Donia Khaled</v>
          </cell>
        </row>
        <row r="2650">
          <cell r="A2650" t="str">
            <v>كافيه صدرا</v>
          </cell>
          <cell r="B2650" t="str">
            <v>Horeca Smart</v>
          </cell>
          <cell r="C2650" t="str">
            <v xml:space="preserve">عملاء كاش </v>
          </cell>
          <cell r="D2650" t="str">
            <v>Donia Khaled</v>
          </cell>
        </row>
        <row r="2651">
          <cell r="A2651" t="str">
            <v>كافيه صن</v>
          </cell>
          <cell r="B2651" t="str">
            <v>Horeca Smart</v>
          </cell>
          <cell r="C2651" t="str">
            <v xml:space="preserve">عملاء كاش </v>
          </cell>
          <cell r="D2651" t="str">
            <v>Mona Mohamed</v>
          </cell>
        </row>
        <row r="2652">
          <cell r="A2652" t="str">
            <v>كافيه صهلله</v>
          </cell>
          <cell r="B2652" t="str">
            <v>Horeca Smart</v>
          </cell>
          <cell r="C2652" t="str">
            <v xml:space="preserve">عملاء كاش </v>
          </cell>
          <cell r="D2652" t="str">
            <v>Donia Khaled</v>
          </cell>
        </row>
        <row r="2653">
          <cell r="A2653" t="str">
            <v>كافيه ضي</v>
          </cell>
          <cell r="B2653" t="str">
            <v>Horeca Smart</v>
          </cell>
          <cell r="C2653" t="str">
            <v xml:space="preserve">عملاء كاش </v>
          </cell>
          <cell r="D2653" t="str">
            <v>Donia Khaled</v>
          </cell>
        </row>
        <row r="2654">
          <cell r="A2654" t="str">
            <v>كافيه ضي القمر</v>
          </cell>
          <cell r="B2654" t="str">
            <v>Horeca Smart</v>
          </cell>
          <cell r="C2654" t="str">
            <v xml:space="preserve">عملاء كاش </v>
          </cell>
          <cell r="D2654" t="str">
            <v>Donia Khaled</v>
          </cell>
        </row>
        <row r="2655">
          <cell r="A2655" t="str">
            <v>كافيه طاولة</v>
          </cell>
          <cell r="B2655" t="str">
            <v>Horeca Smart</v>
          </cell>
          <cell r="C2655" t="str">
            <v xml:space="preserve">عملاء كاش </v>
          </cell>
          <cell r="D2655" t="str">
            <v>Naden Amgad</v>
          </cell>
        </row>
        <row r="2656">
          <cell r="A2656" t="str">
            <v>كافيه طياره</v>
          </cell>
          <cell r="B2656" t="str">
            <v>Horeca Smart</v>
          </cell>
          <cell r="C2656" t="str">
            <v xml:space="preserve">عملاء كاش </v>
          </cell>
          <cell r="D2656" t="str">
            <v>Reham Maher</v>
          </cell>
        </row>
        <row r="2657">
          <cell r="A2657" t="str">
            <v>كافيه عالرصيف</v>
          </cell>
          <cell r="B2657" t="str">
            <v>Horeca Smart</v>
          </cell>
          <cell r="C2657" t="str">
            <v xml:space="preserve">عملاء كاش </v>
          </cell>
          <cell r="D2657" t="str">
            <v>Reham Maher</v>
          </cell>
        </row>
        <row r="2658">
          <cell r="A2658" t="str">
            <v>كافيه علي بابا</v>
          </cell>
          <cell r="B2658" t="str">
            <v>Horeca Smart</v>
          </cell>
          <cell r="C2658" t="str">
            <v xml:space="preserve">عملاء كاش </v>
          </cell>
          <cell r="D2658" t="str">
            <v>Donia Khaled</v>
          </cell>
        </row>
        <row r="2659">
          <cell r="A2659" t="str">
            <v>كافيه علي كيفك</v>
          </cell>
          <cell r="B2659" t="str">
            <v>Horeca Smart</v>
          </cell>
          <cell r="C2659" t="str">
            <v xml:space="preserve">عملاء كاش </v>
          </cell>
          <cell r="D2659" t="str">
            <v>Donia Khaled</v>
          </cell>
        </row>
        <row r="2660">
          <cell r="A2660" t="str">
            <v>كافيه عمار</v>
          </cell>
          <cell r="B2660" t="str">
            <v>Horeca Smart</v>
          </cell>
          <cell r="C2660" t="str">
            <v xml:space="preserve">عملاء كاش </v>
          </cell>
          <cell r="D2660" t="str">
            <v>Donia Khaled</v>
          </cell>
        </row>
        <row r="2661">
          <cell r="A2661" t="str">
            <v>كافيه فاميلي</v>
          </cell>
          <cell r="B2661" t="str">
            <v>Horeca Smart</v>
          </cell>
          <cell r="C2661" t="str">
            <v xml:space="preserve">عملاء كاش </v>
          </cell>
          <cell r="D2661" t="str">
            <v>Donia Khaled</v>
          </cell>
        </row>
        <row r="2662">
          <cell r="A2662" t="str">
            <v>كافيه فرجللو</v>
          </cell>
          <cell r="B2662" t="str">
            <v>Horeca Smart</v>
          </cell>
          <cell r="C2662" t="str">
            <v xml:space="preserve">عملاء كاش </v>
          </cell>
          <cell r="D2662" t="str">
            <v>Reham Maher</v>
          </cell>
        </row>
        <row r="2663">
          <cell r="A2663" t="str">
            <v>كافيه فيرنانديز</v>
          </cell>
          <cell r="B2663" t="str">
            <v>Horeca Smart</v>
          </cell>
          <cell r="C2663" t="str">
            <v xml:space="preserve">عملاء كاش </v>
          </cell>
          <cell r="D2663" t="str">
            <v>Reham Maher</v>
          </cell>
        </row>
        <row r="2664">
          <cell r="A2664" t="str">
            <v>كافيه كاستيلو</v>
          </cell>
          <cell r="B2664" t="str">
            <v>Horeca Smart</v>
          </cell>
          <cell r="C2664" t="str">
            <v xml:space="preserve">عملاء كاش </v>
          </cell>
          <cell r="D2664" t="str">
            <v>Naden Amgad</v>
          </cell>
        </row>
        <row r="2665">
          <cell r="A2665" t="str">
            <v>كافيه كزبلانكا</v>
          </cell>
          <cell r="B2665" t="str">
            <v>Horeca Smart</v>
          </cell>
          <cell r="C2665" t="str">
            <v xml:space="preserve">عملاء كاش </v>
          </cell>
          <cell r="D2665" t="str">
            <v>Reham Maher</v>
          </cell>
        </row>
        <row r="2666">
          <cell r="A2666" t="str">
            <v>كافيه كوبا</v>
          </cell>
          <cell r="B2666" t="str">
            <v>Horeca Smart</v>
          </cell>
          <cell r="C2666" t="str">
            <v xml:space="preserve">عملاء كاش </v>
          </cell>
          <cell r="D2666" t="str">
            <v>Reham Maher</v>
          </cell>
        </row>
        <row r="2667">
          <cell r="A2667" t="str">
            <v>كافيه كورنر</v>
          </cell>
          <cell r="B2667" t="str">
            <v>Horeca Smart</v>
          </cell>
          <cell r="C2667" t="str">
            <v xml:space="preserve">عملاء كاش </v>
          </cell>
          <cell r="D2667" t="str">
            <v>Reham Maher</v>
          </cell>
        </row>
        <row r="2668">
          <cell r="A2668" t="str">
            <v>كافيه كيمس</v>
          </cell>
          <cell r="B2668" t="str">
            <v>Horeca Smart</v>
          </cell>
          <cell r="C2668" t="str">
            <v xml:space="preserve">عملاء كاش </v>
          </cell>
          <cell r="D2668" t="str">
            <v>Donia Khaled</v>
          </cell>
        </row>
        <row r="2669">
          <cell r="A2669" t="str">
            <v>كافيه كيمس, كافيه كيمس, كافيه كيمس - مصر الجديدة</v>
          </cell>
          <cell r="B2669" t="str">
            <v>Horeca Smart</v>
          </cell>
          <cell r="C2669" t="str">
            <v xml:space="preserve">عملاء كاش </v>
          </cell>
          <cell r="D2669" t="str">
            <v>Donia Khaled</v>
          </cell>
        </row>
        <row r="2670">
          <cell r="A2670" t="str">
            <v>كافيه كيمس, كافيه كيمس, كافيه كيمس-المخزن</v>
          </cell>
          <cell r="B2670" t="str">
            <v>Horeca Smart</v>
          </cell>
          <cell r="C2670" t="str">
            <v xml:space="preserve">عملاء كاش </v>
          </cell>
          <cell r="D2670" t="str">
            <v>Reham Maher</v>
          </cell>
        </row>
        <row r="2671">
          <cell r="A2671" t="str">
            <v>كافيه لا كلاسيكو</v>
          </cell>
          <cell r="B2671" t="str">
            <v>Horeca Smart</v>
          </cell>
          <cell r="C2671" t="str">
            <v xml:space="preserve">عملاء كاش </v>
          </cell>
          <cell r="D2671" t="str">
            <v>Reham Maher</v>
          </cell>
        </row>
        <row r="2672">
          <cell r="A2672" t="str">
            <v>كافيه لابلايا</v>
          </cell>
          <cell r="B2672" t="str">
            <v>Horeca Smart</v>
          </cell>
          <cell r="C2672" t="str">
            <v xml:space="preserve">عملاء كاش </v>
          </cell>
          <cell r="D2672" t="str">
            <v>Reham Maher</v>
          </cell>
        </row>
        <row r="2673">
          <cell r="A2673" t="str">
            <v>كافيه لاونج</v>
          </cell>
          <cell r="B2673" t="str">
            <v>Horeca Smart</v>
          </cell>
          <cell r="C2673" t="str">
            <v xml:space="preserve">عملاء كاش </v>
          </cell>
          <cell r="D2673" t="str">
            <v>Mona Mohamed</v>
          </cell>
        </row>
        <row r="2674">
          <cell r="A2674" t="str">
            <v>كافيه لمتنا</v>
          </cell>
          <cell r="B2674" t="str">
            <v>Horeca Smart</v>
          </cell>
          <cell r="C2674" t="str">
            <v xml:space="preserve">عملاء كاش </v>
          </cell>
          <cell r="D2674" t="str">
            <v>Reham Maher</v>
          </cell>
        </row>
        <row r="2675">
          <cell r="A2675" t="str">
            <v>كافيه لمتنا, كافيه لمتنا, كافيه لمتنا - مدينة نصر</v>
          </cell>
          <cell r="B2675" t="str">
            <v>Horeca Smart</v>
          </cell>
          <cell r="C2675" t="str">
            <v xml:space="preserve">عملاء كاش </v>
          </cell>
          <cell r="D2675" t="str">
            <v>Reham Maher</v>
          </cell>
        </row>
        <row r="2676">
          <cell r="A2676" t="str">
            <v>كافيه لمتنا, كافيه لمتنا, مساكن المهندسين</v>
          </cell>
          <cell r="B2676" t="str">
            <v>Horeca Smart</v>
          </cell>
          <cell r="C2676" t="str">
            <v xml:space="preserve">عملاء كاش </v>
          </cell>
          <cell r="D2676" t="str">
            <v>Reham Maher</v>
          </cell>
        </row>
        <row r="2677">
          <cell r="A2677" t="str">
            <v>كافيه ليالي الشام</v>
          </cell>
          <cell r="B2677" t="str">
            <v>Horeca Smart</v>
          </cell>
          <cell r="C2677" t="str">
            <v xml:space="preserve">عملاء كاش </v>
          </cell>
          <cell r="D2677" t="str">
            <v>Donia Khaled</v>
          </cell>
        </row>
        <row r="2678">
          <cell r="A2678" t="str">
            <v>كافيه ليالي زمان</v>
          </cell>
          <cell r="B2678" t="str">
            <v>Horeca Smart</v>
          </cell>
          <cell r="C2678" t="str">
            <v xml:space="preserve">عملاء كاش </v>
          </cell>
          <cell r="D2678" t="str">
            <v>Naden Amgad</v>
          </cell>
        </row>
        <row r="2679">
          <cell r="A2679" t="str">
            <v>كافيه ليالي زمان - 6 أكتوبر</v>
          </cell>
          <cell r="B2679" t="str">
            <v>Horeca Smart</v>
          </cell>
          <cell r="C2679" t="str">
            <v xml:space="preserve">عملاء كاش </v>
          </cell>
          <cell r="D2679" t="str">
            <v>Naden Amgad</v>
          </cell>
        </row>
        <row r="2680">
          <cell r="A2680" t="str">
            <v>كافيه ليالي زمان, كافيه ليالي زمان, كافيه ليالي زمان - اكتوبر</v>
          </cell>
          <cell r="B2680" t="str">
            <v>Horeca Smart</v>
          </cell>
          <cell r="C2680" t="str">
            <v xml:space="preserve">عملاء كاش </v>
          </cell>
          <cell r="D2680" t="str">
            <v>Naden Amgad</v>
          </cell>
        </row>
        <row r="2681">
          <cell r="A2681" t="str">
            <v>كافيه ليالي زمان, كافيه ليالي زمان, كافيه ليالي زمان - الهرم</v>
          </cell>
          <cell r="B2681" t="str">
            <v>Horeca Smart</v>
          </cell>
          <cell r="C2681" t="str">
            <v xml:space="preserve">عملاء كاش </v>
          </cell>
          <cell r="D2681" t="str">
            <v>Naden Amgad</v>
          </cell>
        </row>
        <row r="2682">
          <cell r="A2682" t="str">
            <v>كافيه مذاق</v>
          </cell>
          <cell r="B2682" t="str">
            <v>Horeca Smart</v>
          </cell>
          <cell r="C2682" t="str">
            <v xml:space="preserve">عملاء كاش </v>
          </cell>
          <cell r="D2682" t="str">
            <v>Donia Khaled</v>
          </cell>
        </row>
        <row r="2683">
          <cell r="A2683" t="str">
            <v>كافيه مروان</v>
          </cell>
          <cell r="B2683" t="str">
            <v>Horeca Smart</v>
          </cell>
          <cell r="C2683" t="str">
            <v xml:space="preserve">عملاء كاش </v>
          </cell>
          <cell r="D2683" t="str">
            <v>Reham Maher</v>
          </cell>
        </row>
        <row r="2684">
          <cell r="A2684" t="str">
            <v>كافيه مزاج</v>
          </cell>
          <cell r="B2684" t="str">
            <v>Horeca Smart</v>
          </cell>
          <cell r="C2684" t="str">
            <v xml:space="preserve">عملاء كاش </v>
          </cell>
          <cell r="D2684" t="str">
            <v>Reham Maher</v>
          </cell>
        </row>
        <row r="2685">
          <cell r="A2685" t="str">
            <v>كافيه مزاج - الرحاب</v>
          </cell>
          <cell r="B2685" t="str">
            <v>Horeca Smart</v>
          </cell>
          <cell r="C2685" t="str">
            <v xml:space="preserve">عملاء كاش </v>
          </cell>
          <cell r="D2685" t="str">
            <v>Rasha Hassan</v>
          </cell>
        </row>
        <row r="2686">
          <cell r="A2686" t="str">
            <v>كافيه مزيكا</v>
          </cell>
          <cell r="B2686" t="str">
            <v>Horeca Smart</v>
          </cell>
          <cell r="C2686" t="str">
            <v xml:space="preserve">عملاء كاش </v>
          </cell>
          <cell r="D2686" t="str">
            <v>Donia Khaled</v>
          </cell>
        </row>
        <row r="2687">
          <cell r="A2687" t="str">
            <v>كافيه مستشفى دار العروبة</v>
          </cell>
          <cell r="B2687" t="str">
            <v>Horeca Smart</v>
          </cell>
          <cell r="C2687" t="str">
            <v xml:space="preserve">عملاء كاش </v>
          </cell>
          <cell r="D2687" t="str">
            <v>Reham Maher</v>
          </cell>
        </row>
        <row r="2688">
          <cell r="A2688" t="str">
            <v>كافيه ميرس</v>
          </cell>
          <cell r="B2688" t="str">
            <v>Horeca Smart</v>
          </cell>
          <cell r="C2688" t="str">
            <v xml:space="preserve">عملاء كاش </v>
          </cell>
          <cell r="D2688" t="str">
            <v>Naden Amgad</v>
          </cell>
        </row>
        <row r="2689">
          <cell r="A2689" t="str">
            <v>كافيه نظرية</v>
          </cell>
          <cell r="B2689" t="str">
            <v>Horeca Smart</v>
          </cell>
          <cell r="C2689" t="str">
            <v xml:space="preserve">عملاء كاش </v>
          </cell>
          <cell r="D2689" t="str">
            <v>Donia Khaled</v>
          </cell>
        </row>
        <row r="2690">
          <cell r="A2690" t="str">
            <v>كافيه هارون باشا</v>
          </cell>
          <cell r="B2690" t="str">
            <v>Horeca Smart</v>
          </cell>
          <cell r="C2690" t="str">
            <v xml:space="preserve">عملاء كاش </v>
          </cell>
          <cell r="D2690" t="str">
            <v>Donia Khaled</v>
          </cell>
        </row>
        <row r="2691">
          <cell r="A2691" t="str">
            <v>كافيه ورد</v>
          </cell>
          <cell r="B2691" t="str">
            <v>Horeca Smart</v>
          </cell>
          <cell r="C2691" t="str">
            <v xml:space="preserve">عملاء كاش </v>
          </cell>
          <cell r="D2691" t="str">
            <v>Lames Magdy</v>
          </cell>
        </row>
        <row r="2692">
          <cell r="A2692" t="str">
            <v>كافيه ومطعم  الدمشقي</v>
          </cell>
          <cell r="B2692" t="str">
            <v>Horeca Smart</v>
          </cell>
          <cell r="C2692" t="str">
            <v xml:space="preserve">عملاء كاش </v>
          </cell>
          <cell r="D2692" t="str">
            <v>Reham Maher</v>
          </cell>
        </row>
        <row r="2693">
          <cell r="A2693" t="str">
            <v>كافيه ومطعم Bali</v>
          </cell>
          <cell r="B2693" t="str">
            <v>Horeca Smart</v>
          </cell>
          <cell r="C2693" t="str">
            <v xml:space="preserve">عملاء كاش </v>
          </cell>
          <cell r="D2693" t="str">
            <v>Donia Khaled</v>
          </cell>
        </row>
        <row r="2694">
          <cell r="A2694" t="str">
            <v>كافيه ومطعم أبو الزوز</v>
          </cell>
          <cell r="B2694" t="str">
            <v>Horeca Smart</v>
          </cell>
          <cell r="C2694" t="str">
            <v xml:space="preserve">عملاء كاش </v>
          </cell>
          <cell r="D2694" t="str">
            <v>Donia Khaled</v>
          </cell>
        </row>
        <row r="2695">
          <cell r="A2695" t="str">
            <v>كافيه ومطعم أهل مصر</v>
          </cell>
          <cell r="B2695" t="str">
            <v>Horeca Smart</v>
          </cell>
          <cell r="C2695" t="str">
            <v xml:space="preserve">عملاء كاش </v>
          </cell>
          <cell r="D2695" t="str">
            <v>Naden Amgad</v>
          </cell>
        </row>
        <row r="2696">
          <cell r="A2696" t="str">
            <v>كافيه ومطعم الخال</v>
          </cell>
          <cell r="B2696" t="str">
            <v>Horeca Smart</v>
          </cell>
          <cell r="C2696" t="str">
            <v xml:space="preserve">عملاء كاش </v>
          </cell>
          <cell r="D2696" t="str">
            <v>Reham Maher</v>
          </cell>
        </row>
        <row r="2697">
          <cell r="A2697" t="str">
            <v>كافيه ومطعم الخان</v>
          </cell>
          <cell r="B2697" t="str">
            <v>Horeca Smart</v>
          </cell>
          <cell r="C2697" t="str">
            <v xml:space="preserve">عملاء كاش </v>
          </cell>
          <cell r="D2697" t="str">
            <v>Naden Amgad</v>
          </cell>
        </row>
        <row r="2698">
          <cell r="A2698" t="str">
            <v>كافيه ومطعم السرايا</v>
          </cell>
          <cell r="B2698" t="str">
            <v>Horeca Smart</v>
          </cell>
          <cell r="C2698" t="str">
            <v xml:space="preserve">عملاء كاش </v>
          </cell>
          <cell r="D2698" t="str">
            <v>Lames Magdy</v>
          </cell>
        </row>
        <row r="2699">
          <cell r="A2699" t="str">
            <v>كافيه ومطعم السرايا - حديقة بدر</v>
          </cell>
          <cell r="B2699" t="str">
            <v>Horeca Smart</v>
          </cell>
          <cell r="C2699" t="str">
            <v xml:space="preserve">عملاء كاش </v>
          </cell>
          <cell r="D2699" t="str">
            <v>Reham Maher</v>
          </cell>
        </row>
        <row r="2700">
          <cell r="A2700" t="str">
            <v>كافيه ومطعم بوخارست</v>
          </cell>
          <cell r="B2700" t="str">
            <v>Horeca Smart</v>
          </cell>
          <cell r="C2700" t="str">
            <v xml:space="preserve">عملاء كاش </v>
          </cell>
          <cell r="D2700" t="str">
            <v>Lames Magdy</v>
          </cell>
        </row>
        <row r="2701">
          <cell r="A2701" t="str">
            <v>كافيه ومطعم تريو لاونج</v>
          </cell>
          <cell r="B2701" t="str">
            <v>Horeca Smart</v>
          </cell>
          <cell r="C2701" t="str">
            <v xml:space="preserve">عملاء كاش </v>
          </cell>
          <cell r="D2701" t="str">
            <v>Reham Maher</v>
          </cell>
        </row>
        <row r="2702">
          <cell r="A2702" t="str">
            <v>كافيه ومطعم جوفريز</v>
          </cell>
          <cell r="B2702" t="str">
            <v>Horeca Smart</v>
          </cell>
          <cell r="C2702" t="str">
            <v xml:space="preserve">عملاء كاش </v>
          </cell>
          <cell r="D2702" t="str">
            <v>Donia Khaled</v>
          </cell>
        </row>
        <row r="2703">
          <cell r="A2703" t="str">
            <v>كافيه ومطعم جومارو, كافيه ومطعم جومارو, كافيه ومطعم جومارو - مدينة نصر</v>
          </cell>
          <cell r="B2703" t="str">
            <v>Horeca Smart</v>
          </cell>
          <cell r="C2703" t="str">
            <v xml:space="preserve">عملاء كاش </v>
          </cell>
          <cell r="D2703" t="str">
            <v>Reham Maher</v>
          </cell>
        </row>
        <row r="2704">
          <cell r="A2704" t="str">
            <v>كافيه ومطعم جومارو, كافيه ومطعم جومارو, كافيه ومطعم جومارو -المعادي</v>
          </cell>
          <cell r="B2704" t="str">
            <v>Horeca Smart</v>
          </cell>
          <cell r="C2704" t="str">
            <v xml:space="preserve">عملاء كاش </v>
          </cell>
          <cell r="D2704" t="str">
            <v>Reham Maher</v>
          </cell>
        </row>
        <row r="2705">
          <cell r="A2705" t="str">
            <v>كافيه ومطعم خيمة مهران</v>
          </cell>
          <cell r="B2705" t="str">
            <v>Horeca Smart</v>
          </cell>
          <cell r="C2705" t="str">
            <v xml:space="preserve">عملاء كاش </v>
          </cell>
          <cell r="D2705" t="str">
            <v>Donia Khaled</v>
          </cell>
        </row>
        <row r="2706">
          <cell r="A2706" t="str">
            <v>كافيه ومطعم درامز</v>
          </cell>
          <cell r="B2706" t="str">
            <v>Horeca Smart</v>
          </cell>
          <cell r="C2706" t="str">
            <v xml:space="preserve">عملاء كاش </v>
          </cell>
          <cell r="D2706" t="str">
            <v>Naden Amgad</v>
          </cell>
        </row>
        <row r="2707">
          <cell r="A2707" t="str">
            <v>كافيه ومطعم دربوكه_darbuka</v>
          </cell>
          <cell r="B2707" t="str">
            <v>Horeca Smart</v>
          </cell>
          <cell r="C2707" t="str">
            <v xml:space="preserve">عملاء كاش </v>
          </cell>
          <cell r="D2707" t="str">
            <v>Reham Maher</v>
          </cell>
        </row>
        <row r="2708">
          <cell r="A2708" t="str">
            <v>كافيه ومطعم ذات</v>
          </cell>
          <cell r="B2708" t="str">
            <v>Horeca Smart</v>
          </cell>
          <cell r="C2708" t="str">
            <v xml:space="preserve">عملاء كاش </v>
          </cell>
          <cell r="D2708" t="str">
            <v>Naden Amgad</v>
          </cell>
        </row>
        <row r="2709">
          <cell r="A2709" t="str">
            <v>كافيه ومطعم رويال لوتس</v>
          </cell>
          <cell r="B2709" t="str">
            <v>Horeca Smart</v>
          </cell>
          <cell r="C2709" t="str">
            <v xml:space="preserve">عملاء كاش </v>
          </cell>
          <cell r="D2709" t="str">
            <v>Haddil Haron</v>
          </cell>
        </row>
        <row r="2710">
          <cell r="A2710" t="str">
            <v>كافيه ومطعم زاد</v>
          </cell>
          <cell r="B2710" t="str">
            <v>Horeca Smart</v>
          </cell>
          <cell r="C2710" t="str">
            <v xml:space="preserve">عملاء كاش </v>
          </cell>
          <cell r="D2710" t="str">
            <v>Donia Khaled</v>
          </cell>
        </row>
        <row r="2711">
          <cell r="A2711" t="str">
            <v>كافيه ومطعم ستيم, كافيه ومطعم ستيم, -نادي الزهور</v>
          </cell>
          <cell r="B2711" t="str">
            <v>Horeca Smart</v>
          </cell>
          <cell r="C2711" t="str">
            <v xml:space="preserve">عملاء كاش </v>
          </cell>
          <cell r="D2711" t="str">
            <v>Mona Mohamed</v>
          </cell>
        </row>
        <row r="2712">
          <cell r="A2712" t="str">
            <v>كافيه ومطعم سهرة</v>
          </cell>
          <cell r="B2712" t="str">
            <v>Horeca Smart</v>
          </cell>
          <cell r="C2712" t="str">
            <v xml:space="preserve">عملاء كاش </v>
          </cell>
          <cell r="D2712" t="str">
            <v>Lames Magdy</v>
          </cell>
        </row>
        <row r="2713">
          <cell r="A2713" t="str">
            <v>كافيه ومطعم شانتي</v>
          </cell>
          <cell r="B2713" t="str">
            <v>Horeca Smart</v>
          </cell>
          <cell r="C2713" t="str">
            <v xml:space="preserve">عملاء كاش </v>
          </cell>
          <cell r="D2713" t="str">
            <v>Naden Amgad</v>
          </cell>
        </row>
        <row r="2714">
          <cell r="A2714" t="str">
            <v>كافيه ومطعم شغف</v>
          </cell>
          <cell r="B2714" t="str">
            <v>Horeca Smart</v>
          </cell>
          <cell r="C2714" t="str">
            <v xml:space="preserve">عملاء كاش </v>
          </cell>
          <cell r="D2714" t="str">
            <v>Donia Khaled</v>
          </cell>
        </row>
        <row r="2715">
          <cell r="A2715" t="str">
            <v>كافيه ومطعم عود</v>
          </cell>
          <cell r="B2715" t="str">
            <v>Horeca Smart</v>
          </cell>
          <cell r="C2715" t="str">
            <v xml:space="preserve">عملاء كاش </v>
          </cell>
          <cell r="D2715" t="str">
            <v>Donia Khaled</v>
          </cell>
        </row>
        <row r="2716">
          <cell r="A2716" t="str">
            <v>كافيه ومطعم فرشه</v>
          </cell>
          <cell r="B2716" t="str">
            <v>Horeca Smart</v>
          </cell>
          <cell r="C2716" t="str">
            <v xml:space="preserve">عملاء كاش </v>
          </cell>
          <cell r="D2716" t="str">
            <v>Naden Amgad</v>
          </cell>
        </row>
        <row r="2717">
          <cell r="A2717" t="str">
            <v>كافيه ومطعم قمرين</v>
          </cell>
          <cell r="B2717" t="str">
            <v>Horeca Smart</v>
          </cell>
          <cell r="C2717" t="str">
            <v xml:space="preserve">عملاء كاش </v>
          </cell>
          <cell r="D2717" t="str">
            <v>Reham Maher</v>
          </cell>
        </row>
        <row r="2718">
          <cell r="A2718" t="str">
            <v>كافيه ومطعم كامبني -مدينة نصر</v>
          </cell>
          <cell r="B2718" t="str">
            <v>Horeca Smart</v>
          </cell>
          <cell r="C2718" t="str">
            <v xml:space="preserve">عملاء كاش </v>
          </cell>
          <cell r="D2718" t="str">
            <v>Reham Maher</v>
          </cell>
        </row>
        <row r="2719">
          <cell r="A2719" t="str">
            <v>كافيه ومطعم كرافت</v>
          </cell>
          <cell r="B2719" t="str">
            <v>Horeca Smart</v>
          </cell>
          <cell r="C2719" t="str">
            <v xml:space="preserve">عملاء كاش </v>
          </cell>
          <cell r="D2719" t="str">
            <v>Donia Khaled</v>
          </cell>
        </row>
        <row r="2720">
          <cell r="A2720" t="str">
            <v>كافيه ومطعم كراكيب</v>
          </cell>
          <cell r="B2720" t="str">
            <v>Horeca Smart</v>
          </cell>
          <cell r="C2720" t="str">
            <v xml:space="preserve">عملاء كاش </v>
          </cell>
          <cell r="D2720" t="str">
            <v>Naden Amgad</v>
          </cell>
        </row>
        <row r="2721">
          <cell r="A2721" t="str">
            <v>كافيه ومطعم كوب وحكايه</v>
          </cell>
          <cell r="B2721" t="str">
            <v>Horeca Smart</v>
          </cell>
          <cell r="C2721" t="str">
            <v xml:space="preserve">عملاء كاش </v>
          </cell>
          <cell r="D2721" t="str">
            <v>Donia Khaled</v>
          </cell>
        </row>
        <row r="2722">
          <cell r="A2722" t="str">
            <v>كافيه ومطعم كيوبس</v>
          </cell>
          <cell r="B2722" t="str">
            <v>Horeca Smart</v>
          </cell>
          <cell r="C2722" t="str">
            <v xml:space="preserve">عملاء كاش </v>
          </cell>
          <cell r="D2722" t="str">
            <v>Reham Maher</v>
          </cell>
        </row>
        <row r="2723">
          <cell r="A2723" t="str">
            <v>كافيه ومطعم لي لي</v>
          </cell>
          <cell r="B2723" t="str">
            <v>Horeca Smart</v>
          </cell>
          <cell r="C2723" t="str">
            <v xml:space="preserve">عملاء كاش </v>
          </cell>
          <cell r="D2723" t="str">
            <v>Naden Amgad</v>
          </cell>
        </row>
        <row r="2724">
          <cell r="A2724" t="str">
            <v>كافيه ومطعم مكسيكان كورن</v>
          </cell>
          <cell r="B2724" t="str">
            <v>Horeca Smart</v>
          </cell>
          <cell r="C2724" t="str">
            <v xml:space="preserve">عملاء كاش </v>
          </cell>
          <cell r="D2724" t="str">
            <v>Mona Mohamed</v>
          </cell>
        </row>
        <row r="2725">
          <cell r="A2725" t="str">
            <v>كافيه ومطعم ميكاتو</v>
          </cell>
          <cell r="B2725" t="str">
            <v>Horeca Smart</v>
          </cell>
          <cell r="C2725" t="str">
            <v xml:space="preserve">عملاء كاش </v>
          </cell>
          <cell r="D2725" t="str">
            <v>Reham Maher</v>
          </cell>
        </row>
        <row r="2726">
          <cell r="A2726" t="str">
            <v>كافيه ومطعم ميلز اون ويلز</v>
          </cell>
          <cell r="B2726" t="str">
            <v>Horeca Smart</v>
          </cell>
          <cell r="C2726" t="str">
            <v xml:space="preserve">عملاء كاش </v>
          </cell>
          <cell r="D2726" t="str">
            <v>Donia Khaled</v>
          </cell>
        </row>
        <row r="2727">
          <cell r="A2727" t="str">
            <v>كافيه ومطعم نيلوس</v>
          </cell>
          <cell r="B2727" t="str">
            <v>Horeca Smart</v>
          </cell>
          <cell r="C2727" t="str">
            <v xml:space="preserve">عملاء كاش </v>
          </cell>
          <cell r="D2727" t="str">
            <v>Reham Maher</v>
          </cell>
        </row>
        <row r="2728">
          <cell r="A2728" t="str">
            <v>كافيين كرياشين</v>
          </cell>
          <cell r="B2728" t="str">
            <v>Horeca Smart</v>
          </cell>
          <cell r="C2728" t="str">
            <v xml:space="preserve">عملاء كاش </v>
          </cell>
          <cell r="D2728" t="str">
            <v>Lames Magdy</v>
          </cell>
        </row>
        <row r="2729">
          <cell r="A2729" t="str">
            <v>كاليفا لادارة المطاعم</v>
          </cell>
          <cell r="B2729" t="str">
            <v>Horeca Smart</v>
          </cell>
          <cell r="C2729" t="str">
            <v xml:space="preserve">عملاء كاش </v>
          </cell>
          <cell r="D2729" t="str">
            <v>Donia Khaled</v>
          </cell>
        </row>
        <row r="2730">
          <cell r="A2730" t="str">
            <v>كانتين كافيه</v>
          </cell>
          <cell r="B2730" t="str">
            <v>Horeca Smart</v>
          </cell>
          <cell r="C2730" t="str">
            <v xml:space="preserve">عملاء كاش </v>
          </cell>
          <cell r="D2730" t="str">
            <v>Donia Khaled</v>
          </cell>
        </row>
        <row r="2731">
          <cell r="A2731" t="str">
            <v>كانيلا</v>
          </cell>
          <cell r="B2731" t="str">
            <v>Horeca Smart</v>
          </cell>
          <cell r="C2731" t="str">
            <v xml:space="preserve">عملاء كاش </v>
          </cell>
          <cell r="D2731" t="str">
            <v>Donia Khaled</v>
          </cell>
        </row>
        <row r="2732">
          <cell r="A2732" t="str">
            <v>كايرو داينرز</v>
          </cell>
          <cell r="B2732" t="str">
            <v>Horeca Smart</v>
          </cell>
          <cell r="C2732" t="str">
            <v xml:space="preserve">عملاء كاش </v>
          </cell>
          <cell r="D2732" t="str">
            <v>Reham Maher</v>
          </cell>
        </row>
        <row r="2733">
          <cell r="A2733" t="str">
            <v>كبابجى السيدة</v>
          </cell>
          <cell r="B2733" t="str">
            <v>Horeca Smart</v>
          </cell>
          <cell r="C2733" t="str">
            <v xml:space="preserve">عملاء كاش </v>
          </cell>
          <cell r="D2733" t="str">
            <v>Donia Khaled</v>
          </cell>
        </row>
        <row r="2734">
          <cell r="A2734" t="str">
            <v>كبابجي ومشويات المنزلاوي</v>
          </cell>
          <cell r="B2734" t="str">
            <v>Horeca Smart</v>
          </cell>
          <cell r="C2734" t="str">
            <v xml:space="preserve">عملاء كاش </v>
          </cell>
          <cell r="D2734" t="str">
            <v>Donia Khaled</v>
          </cell>
        </row>
        <row r="2735">
          <cell r="A2735" t="str">
            <v>كبدة الشرقاوى - البساتين</v>
          </cell>
          <cell r="B2735" t="str">
            <v>Horeca Smart</v>
          </cell>
          <cell r="C2735" t="str">
            <v xml:space="preserve">عملاء كاش </v>
          </cell>
          <cell r="D2735" t="str">
            <v>Donia Khaled</v>
          </cell>
        </row>
        <row r="2736">
          <cell r="A2736" t="str">
            <v>كبدة الشرقاوى - الطلبية</v>
          </cell>
          <cell r="B2736" t="str">
            <v>Horeca Smart</v>
          </cell>
          <cell r="C2736" t="str">
            <v xml:space="preserve">عملاء كاش </v>
          </cell>
          <cell r="D2736" t="str">
            <v>Naden Amgad</v>
          </cell>
        </row>
        <row r="2737">
          <cell r="A2737" t="str">
            <v>كبدة الشرقاوي</v>
          </cell>
          <cell r="B2737" t="str">
            <v>Horeca Smart</v>
          </cell>
          <cell r="C2737" t="str">
            <v xml:space="preserve">عملاء كاش </v>
          </cell>
          <cell r="D2737" t="str">
            <v>Reham Maher</v>
          </cell>
        </row>
        <row r="2738">
          <cell r="A2738" t="str">
            <v>كبدة الشرقاوي - الهرم</v>
          </cell>
          <cell r="B2738" t="str">
            <v>Horeca Smart</v>
          </cell>
          <cell r="C2738" t="str">
            <v xml:space="preserve">عملاء كاش </v>
          </cell>
          <cell r="D2738" t="str">
            <v>Naden Amgad</v>
          </cell>
        </row>
        <row r="2739">
          <cell r="A2739" t="str">
            <v>كبدة الشرقاوي - عزبة نافع</v>
          </cell>
          <cell r="B2739" t="str">
            <v>Horeca Smart</v>
          </cell>
          <cell r="C2739" t="str">
            <v xml:space="preserve">عملاء كاش </v>
          </cell>
          <cell r="D2739" t="str">
            <v>Donia Khaled</v>
          </cell>
        </row>
        <row r="2740">
          <cell r="A2740" t="str">
            <v>كبدة الشرقاوي - عين شمس</v>
          </cell>
          <cell r="B2740" t="str">
            <v>Horeca Smart</v>
          </cell>
          <cell r="C2740" t="str">
            <v xml:space="preserve">عملاء كاش </v>
          </cell>
          <cell r="D2740" t="str">
            <v>Donia Khaled</v>
          </cell>
        </row>
        <row r="2741">
          <cell r="A2741" t="str">
            <v>كبدة الشيخ</v>
          </cell>
          <cell r="B2741" t="str">
            <v>Horeca Smart</v>
          </cell>
          <cell r="C2741" t="str">
            <v xml:space="preserve">عملاء كاش </v>
          </cell>
          <cell r="D2741" t="str">
            <v>Naden Amgad</v>
          </cell>
        </row>
        <row r="2742">
          <cell r="A2742" t="str">
            <v>كبدة الكرنك</v>
          </cell>
          <cell r="B2742" t="str">
            <v>Horeca Smart</v>
          </cell>
          <cell r="C2742" t="str">
            <v xml:space="preserve">عملاء كاش </v>
          </cell>
          <cell r="D2742" t="str">
            <v>Donia Khaled</v>
          </cell>
        </row>
        <row r="2743">
          <cell r="A2743" t="str">
            <v>كبدة الكرنك</v>
          </cell>
          <cell r="B2743" t="str">
            <v>Horeca Smart</v>
          </cell>
          <cell r="C2743" t="str">
            <v xml:space="preserve">عملاء كاش </v>
          </cell>
          <cell r="D2743" t="str">
            <v>Donia Khaled</v>
          </cell>
        </row>
        <row r="2744">
          <cell r="A2744" t="str">
            <v>كبدة الكرنك  - مدينة نصر</v>
          </cell>
          <cell r="B2744" t="str">
            <v>Horeca Smart</v>
          </cell>
          <cell r="C2744" t="str">
            <v xml:space="preserve">عملاء كاش </v>
          </cell>
          <cell r="D2744" t="str">
            <v>Reham Maher</v>
          </cell>
        </row>
        <row r="2745">
          <cell r="A2745" t="str">
            <v>كبدة الكرنك شيراتون</v>
          </cell>
          <cell r="B2745" t="str">
            <v>Horeca Smart</v>
          </cell>
          <cell r="C2745" t="str">
            <v xml:space="preserve">عملاء كاش </v>
          </cell>
          <cell r="D2745" t="str">
            <v>Donia Khaled</v>
          </cell>
        </row>
        <row r="2746">
          <cell r="A2746" t="str">
            <v>كبدة اللول</v>
          </cell>
          <cell r="B2746" t="str">
            <v>Horeca Smart</v>
          </cell>
          <cell r="C2746" t="str">
            <v xml:space="preserve">عملاء كاش </v>
          </cell>
          <cell r="D2746" t="str">
            <v>Reham Maher</v>
          </cell>
        </row>
        <row r="2747">
          <cell r="A2747" t="str">
            <v>كبدة وسجق كبداكي ميحا</v>
          </cell>
          <cell r="B2747" t="str">
            <v>Horeca Smart</v>
          </cell>
          <cell r="C2747" t="str">
            <v xml:space="preserve">عملاء كاش </v>
          </cell>
          <cell r="D2747" t="str">
            <v>Reham Maher</v>
          </cell>
        </row>
        <row r="2748">
          <cell r="A2748" t="str">
            <v>كبدة ومخ ادهم الشرقاوي</v>
          </cell>
          <cell r="B2748" t="str">
            <v>Horeca Smart</v>
          </cell>
          <cell r="C2748" t="str">
            <v xml:space="preserve">عملاء كاش </v>
          </cell>
          <cell r="D2748" t="str">
            <v>Reham Maher</v>
          </cell>
        </row>
        <row r="2749">
          <cell r="A2749" t="str">
            <v>كبدة ومخ السلطان - الجيزة</v>
          </cell>
          <cell r="B2749" t="str">
            <v>Horeca Smart</v>
          </cell>
          <cell r="C2749" t="str">
            <v xml:space="preserve">عملاء كاش </v>
          </cell>
          <cell r="D2749" t="str">
            <v>Naden Amgad</v>
          </cell>
        </row>
        <row r="2750">
          <cell r="A2750" t="str">
            <v>كبدة ومخ الشرقاوي</v>
          </cell>
          <cell r="B2750" t="str">
            <v>Horeca Smart</v>
          </cell>
          <cell r="C2750" t="str">
            <v xml:space="preserve">عملاء كاش </v>
          </cell>
          <cell r="D2750" t="str">
            <v>Reham Maher</v>
          </cell>
        </row>
        <row r="2751">
          <cell r="A2751" t="str">
            <v>كبدة ومخ وجمبرى البركة</v>
          </cell>
          <cell r="B2751" t="str">
            <v>Horeca Smart</v>
          </cell>
          <cell r="C2751" t="str">
            <v xml:space="preserve">عملاء كاش </v>
          </cell>
          <cell r="D2751" t="str">
            <v>Naden Amgad</v>
          </cell>
        </row>
        <row r="2752">
          <cell r="A2752" t="str">
            <v>كرافت</v>
          </cell>
          <cell r="B2752" t="str">
            <v>Horeca Smart</v>
          </cell>
          <cell r="C2752" t="str">
            <v xml:space="preserve">عملاء كاش </v>
          </cell>
          <cell r="D2752" t="str">
            <v>Rasha Hassan</v>
          </cell>
        </row>
        <row r="2753">
          <cell r="A2753" t="str">
            <v>كرافت-التجمع</v>
          </cell>
          <cell r="B2753" t="str">
            <v>Horeca Smart</v>
          </cell>
          <cell r="C2753" t="str">
            <v xml:space="preserve">عملاء كاش </v>
          </cell>
          <cell r="D2753" t="str">
            <v>Naden Amgad</v>
          </cell>
        </row>
        <row r="2754">
          <cell r="A2754" t="str">
            <v>كرسبي فرايد تشيكن</v>
          </cell>
          <cell r="B2754" t="str">
            <v>Horeca Smart</v>
          </cell>
          <cell r="C2754" t="str">
            <v xml:space="preserve">عملاء كاش </v>
          </cell>
          <cell r="D2754" t="str">
            <v>Reham Maher</v>
          </cell>
        </row>
        <row r="2755">
          <cell r="A2755" t="str">
            <v>كرسبي ميلز</v>
          </cell>
          <cell r="B2755" t="str">
            <v>Horeca Smart</v>
          </cell>
          <cell r="C2755" t="str">
            <v xml:space="preserve">عملاء كاش </v>
          </cell>
          <cell r="D2755" t="str">
            <v>Reham Maher</v>
          </cell>
        </row>
        <row r="2756">
          <cell r="A2756" t="str">
            <v>كرسبي ميلز (المخزن)</v>
          </cell>
          <cell r="B2756" t="str">
            <v>Horeca Smart</v>
          </cell>
          <cell r="C2756" t="str">
            <v xml:space="preserve">عملاء كاش </v>
          </cell>
          <cell r="D2756" t="str">
            <v>Lames Magdy</v>
          </cell>
        </row>
        <row r="2757">
          <cell r="A2757" t="str">
            <v>كرسبي, كرسبي, جنينة مول</v>
          </cell>
          <cell r="B2757" t="str">
            <v>Horeca Smart</v>
          </cell>
          <cell r="C2757" t="str">
            <v xml:space="preserve">عملاء كاش </v>
          </cell>
          <cell r="D2757" t="str">
            <v>Reham Maher</v>
          </cell>
        </row>
        <row r="2758">
          <cell r="A2758" t="str">
            <v>كرم مسعد ( عميل - مورد )</v>
          </cell>
          <cell r="B2758" t="str">
            <v>MAS</v>
          </cell>
          <cell r="C2758" t="str">
            <v xml:space="preserve">عملاء كاش </v>
          </cell>
          <cell r="D2758" t="str">
            <v>Amgad Ahmed</v>
          </cell>
        </row>
        <row r="2759">
          <cell r="A2759" t="str">
            <v>كرنفال</v>
          </cell>
          <cell r="B2759" t="str">
            <v>Horeca Smart</v>
          </cell>
          <cell r="C2759" t="str">
            <v xml:space="preserve">عملاء كاش </v>
          </cell>
          <cell r="D2759" t="str">
            <v>Naden Amgad</v>
          </cell>
        </row>
        <row r="2760">
          <cell r="A2760" t="str">
            <v>كريب الأكيل</v>
          </cell>
          <cell r="B2760" t="str">
            <v>Horeca Smart</v>
          </cell>
          <cell r="C2760" t="str">
            <v xml:space="preserve">عملاء كاش </v>
          </cell>
          <cell r="D2760" t="str">
            <v>Naden Amgad</v>
          </cell>
        </row>
        <row r="2761">
          <cell r="A2761" t="str">
            <v>كريب اند بطاطس</v>
          </cell>
          <cell r="B2761" t="str">
            <v>Horeca Smart</v>
          </cell>
          <cell r="C2761" t="str">
            <v xml:space="preserve">عملاء كاش </v>
          </cell>
          <cell r="D2761" t="str">
            <v>Reham Maher</v>
          </cell>
        </row>
        <row r="2762">
          <cell r="A2762" t="str">
            <v>كريب بركان</v>
          </cell>
          <cell r="B2762" t="str">
            <v>Horeca Smart</v>
          </cell>
          <cell r="C2762" t="str">
            <v xml:space="preserve">عملاء كاش </v>
          </cell>
          <cell r="D2762" t="str">
            <v>Donia Khaled</v>
          </cell>
        </row>
        <row r="2763">
          <cell r="A2763" t="str">
            <v>كريب بوكس</v>
          </cell>
          <cell r="B2763" t="str">
            <v>Horeca Smart</v>
          </cell>
          <cell r="C2763" t="str">
            <v xml:space="preserve">عملاء كاش </v>
          </cell>
          <cell r="D2763" t="str">
            <v>Mona Mohamed</v>
          </cell>
        </row>
        <row r="2764">
          <cell r="A2764" t="str">
            <v>كريب تيستي</v>
          </cell>
          <cell r="B2764" t="str">
            <v>Horeca Smart</v>
          </cell>
          <cell r="C2764" t="str">
            <v xml:space="preserve">عملاء كاش </v>
          </cell>
          <cell r="D2764" t="str">
            <v>Donia Khaled</v>
          </cell>
        </row>
        <row r="2765">
          <cell r="A2765" t="str">
            <v>كريب زون</v>
          </cell>
          <cell r="B2765" t="str">
            <v>Horeca Smart</v>
          </cell>
          <cell r="C2765" t="str">
            <v xml:space="preserve">عملاء كاش </v>
          </cell>
          <cell r="D2765" t="str">
            <v>Donia Khaled</v>
          </cell>
        </row>
        <row r="2766">
          <cell r="A2766" t="str">
            <v>كريب سبايسي</v>
          </cell>
          <cell r="B2766" t="str">
            <v>Horeca Smart</v>
          </cell>
          <cell r="C2766" t="str">
            <v xml:space="preserve">عملاء كاش </v>
          </cell>
          <cell r="D2766" t="str">
            <v>Reham Maher</v>
          </cell>
        </row>
        <row r="2767">
          <cell r="A2767" t="str">
            <v>كريب ستارز</v>
          </cell>
          <cell r="B2767" t="str">
            <v>Horeca Smart</v>
          </cell>
          <cell r="C2767" t="str">
            <v xml:space="preserve">عملاء كاش </v>
          </cell>
          <cell r="D2767" t="str">
            <v>Reham Maher</v>
          </cell>
        </row>
        <row r="2768">
          <cell r="A2768" t="str">
            <v>كريب سيتي</v>
          </cell>
          <cell r="B2768" t="str">
            <v>Horeca Smart</v>
          </cell>
          <cell r="C2768" t="str">
            <v xml:space="preserve">عملاء كاش </v>
          </cell>
          <cell r="D2768" t="str">
            <v>Reham Maher</v>
          </cell>
        </row>
        <row r="2769">
          <cell r="A2769" t="str">
            <v>كريب لمه هنيه</v>
          </cell>
          <cell r="B2769" t="str">
            <v>Horeca Smart</v>
          </cell>
          <cell r="C2769" t="str">
            <v xml:space="preserve">عملاء كاش </v>
          </cell>
          <cell r="D2769" t="str">
            <v>Reham Maher</v>
          </cell>
        </row>
        <row r="2770">
          <cell r="A2770" t="str">
            <v>كريب لمه هنيه - النادي الاهلي</v>
          </cell>
          <cell r="B2770" t="str">
            <v>Horeca Smart</v>
          </cell>
          <cell r="C2770" t="str">
            <v xml:space="preserve">عملاء كاش </v>
          </cell>
          <cell r="D2770" t="str">
            <v>Reham Maher</v>
          </cell>
        </row>
        <row r="2771">
          <cell r="A2771" t="str">
            <v>كريب لمه هنيه -الزمالك</v>
          </cell>
          <cell r="B2771" t="str">
            <v>Horeca Smart</v>
          </cell>
          <cell r="C2771" t="str">
            <v xml:space="preserve">عملاء كاش </v>
          </cell>
          <cell r="D2771" t="str">
            <v>Reham Maher</v>
          </cell>
        </row>
        <row r="2772">
          <cell r="A2772" t="str">
            <v>كريب نيو - الدقي</v>
          </cell>
          <cell r="B2772" t="str">
            <v>Horeca Smart</v>
          </cell>
          <cell r="C2772" t="str">
            <v xml:space="preserve">عملاء كاش </v>
          </cell>
          <cell r="D2772" t="str">
            <v>Naden Amgad</v>
          </cell>
        </row>
        <row r="2773">
          <cell r="A2773" t="str">
            <v>كريب نيو - السيده زينب</v>
          </cell>
          <cell r="B2773" t="str">
            <v>Horeca Smart</v>
          </cell>
          <cell r="C2773" t="str">
            <v xml:space="preserve">عملاء كاش </v>
          </cell>
          <cell r="D2773" t="str">
            <v>Lames Magdy</v>
          </cell>
        </row>
        <row r="2774">
          <cell r="A2774" t="str">
            <v>كريبتون</v>
          </cell>
          <cell r="B2774" t="str">
            <v>Horeca Smart</v>
          </cell>
          <cell r="C2774" t="str">
            <v xml:space="preserve">عملاء كاش </v>
          </cell>
          <cell r="D2774" t="str">
            <v>Donia Khaled</v>
          </cell>
        </row>
        <row r="2775">
          <cell r="A2775" t="str">
            <v>كريبكو</v>
          </cell>
          <cell r="B2775" t="str">
            <v>Horeca Smart</v>
          </cell>
          <cell r="C2775" t="str">
            <v xml:space="preserve">عملاء كاش </v>
          </cell>
          <cell r="D2775" t="str">
            <v>Reham Maher</v>
          </cell>
        </row>
        <row r="2776">
          <cell r="A2776" t="str">
            <v>كريز</v>
          </cell>
          <cell r="B2776" t="str">
            <v>Horeca Smart</v>
          </cell>
          <cell r="C2776" t="str">
            <v xml:space="preserve">عملاء كاش </v>
          </cell>
          <cell r="D2776" t="str">
            <v>Donia Khaled</v>
          </cell>
        </row>
        <row r="2777">
          <cell r="A2777" t="str">
            <v>كريزي فود</v>
          </cell>
          <cell r="B2777" t="str">
            <v>Horeca Smart</v>
          </cell>
          <cell r="C2777" t="str">
            <v xml:space="preserve">عملاء كاش </v>
          </cell>
          <cell r="D2777" t="str">
            <v>Donia Khaled</v>
          </cell>
        </row>
        <row r="2778">
          <cell r="A2778" t="str">
            <v>كريستال بكري</v>
          </cell>
          <cell r="B2778" t="str">
            <v>Horeca Smart</v>
          </cell>
          <cell r="C2778" t="str">
            <v xml:space="preserve">عملاء كاش </v>
          </cell>
          <cell r="D2778" t="str">
            <v>Reham Maher</v>
          </cell>
        </row>
        <row r="2779">
          <cell r="A2779" t="str">
            <v>كشرى مصر - عين شمس</v>
          </cell>
          <cell r="B2779" t="str">
            <v>Horeca Smart</v>
          </cell>
          <cell r="C2779" t="str">
            <v xml:space="preserve">عملاء كاش </v>
          </cell>
          <cell r="D2779" t="str">
            <v>Donia Khaled</v>
          </cell>
        </row>
        <row r="2780">
          <cell r="A2780" t="str">
            <v>كشري ابن البلد</v>
          </cell>
          <cell r="B2780" t="str">
            <v>Horeca Smart</v>
          </cell>
          <cell r="C2780" t="str">
            <v xml:space="preserve">عملاء كاش </v>
          </cell>
          <cell r="D2780" t="str">
            <v>Donia Khaled</v>
          </cell>
        </row>
        <row r="2781">
          <cell r="A2781" t="str">
            <v>كشري الامبراطور</v>
          </cell>
          <cell r="B2781" t="str">
            <v>Horeca Smart</v>
          </cell>
          <cell r="C2781" t="str">
            <v xml:space="preserve">عملاء كاش </v>
          </cell>
          <cell r="D2781" t="str">
            <v>Reham Maher</v>
          </cell>
        </row>
        <row r="2782">
          <cell r="A2782" t="str">
            <v>كشري الحصري</v>
          </cell>
          <cell r="B2782" t="str">
            <v>Horeca Smart</v>
          </cell>
          <cell r="C2782" t="str">
            <v xml:space="preserve">عملاء كاش </v>
          </cell>
          <cell r="D2782" t="str">
            <v>Naden Amgad</v>
          </cell>
        </row>
        <row r="2783">
          <cell r="A2783" t="str">
            <v>كشري السلطان</v>
          </cell>
          <cell r="B2783" t="str">
            <v>Horeca Smart</v>
          </cell>
          <cell r="C2783" t="str">
            <v xml:space="preserve">عملاء كاش </v>
          </cell>
          <cell r="D2783" t="str">
            <v>Reham Maher</v>
          </cell>
        </row>
        <row r="2784">
          <cell r="A2784" t="str">
            <v>كشري بيتنا</v>
          </cell>
          <cell r="B2784" t="str">
            <v>Horeca Smart</v>
          </cell>
          <cell r="C2784" t="str">
            <v xml:space="preserve">عملاء كاش </v>
          </cell>
          <cell r="D2784" t="str">
            <v>Reham Maher</v>
          </cell>
        </row>
        <row r="2785">
          <cell r="A2785" t="str">
            <v>كشري زيزو</v>
          </cell>
          <cell r="B2785" t="str">
            <v>Horeca Smart</v>
          </cell>
          <cell r="C2785" t="str">
            <v xml:space="preserve">عملاء كاش </v>
          </cell>
          <cell r="D2785" t="str">
            <v>Donia Khaled</v>
          </cell>
        </row>
        <row r="2786">
          <cell r="A2786" t="str">
            <v>كشري سيطره</v>
          </cell>
          <cell r="B2786" t="str">
            <v>Horeca Smart</v>
          </cell>
          <cell r="C2786" t="str">
            <v xml:space="preserve">عملاء كاش </v>
          </cell>
          <cell r="D2786" t="str">
            <v>Naden Amgad</v>
          </cell>
        </row>
        <row r="2787">
          <cell r="A2787" t="str">
            <v>كشري مصر</v>
          </cell>
          <cell r="B2787" t="str">
            <v>Horeca Smart</v>
          </cell>
          <cell r="C2787" t="str">
            <v xml:space="preserve">عملاء كاش </v>
          </cell>
          <cell r="D2787" t="str">
            <v>Mona Mohamed</v>
          </cell>
        </row>
        <row r="2788">
          <cell r="A2788" t="str">
            <v>كشري هند</v>
          </cell>
          <cell r="B2788" t="str">
            <v>Horeca Smart</v>
          </cell>
          <cell r="C2788" t="str">
            <v xml:space="preserve">عملاء كاش </v>
          </cell>
          <cell r="D2788" t="str">
            <v>Reham Maher</v>
          </cell>
        </row>
        <row r="2789">
          <cell r="A2789" t="str">
            <v>كشري هند, كشري هند, عباس العقاد</v>
          </cell>
          <cell r="B2789" t="str">
            <v>Horeca Smart</v>
          </cell>
          <cell r="C2789" t="str">
            <v xml:space="preserve">عملاء كاش </v>
          </cell>
          <cell r="D2789" t="str">
            <v>Reham Maher</v>
          </cell>
        </row>
        <row r="2790">
          <cell r="A2790" t="str">
            <v>كشري هند, كشري هند, مكرم عبيد</v>
          </cell>
          <cell r="B2790" t="str">
            <v>Horeca Smart</v>
          </cell>
          <cell r="C2790" t="str">
            <v xml:space="preserve">عملاء كاش </v>
          </cell>
          <cell r="D2790" t="str">
            <v>Reham Maher</v>
          </cell>
        </row>
        <row r="2791">
          <cell r="A2791" t="str">
            <v>كشكول</v>
          </cell>
          <cell r="B2791" t="str">
            <v>Horeca Smart</v>
          </cell>
          <cell r="C2791" t="str">
            <v xml:space="preserve">عملاء كاش </v>
          </cell>
          <cell r="D2791" t="str">
            <v>Naden Amgad</v>
          </cell>
        </row>
        <row r="2792">
          <cell r="A2792" t="str">
            <v>كلاود كيتشن</v>
          </cell>
          <cell r="B2792" t="str">
            <v>Horeca Smart</v>
          </cell>
          <cell r="C2792" t="str">
            <v xml:space="preserve">عملاء كاش </v>
          </cell>
          <cell r="D2792" t="str">
            <v>Reham Maher</v>
          </cell>
        </row>
        <row r="2793">
          <cell r="A2793" t="str">
            <v>كنافنجي</v>
          </cell>
          <cell r="B2793" t="str">
            <v>Horeca Smart</v>
          </cell>
          <cell r="C2793" t="str">
            <v xml:space="preserve">عملاء كاش </v>
          </cell>
          <cell r="D2793" t="str">
            <v>Donia Khaled</v>
          </cell>
        </row>
        <row r="2794">
          <cell r="A2794" t="str">
            <v>كنافه حبيبه الكويت</v>
          </cell>
          <cell r="B2794" t="str">
            <v>Horeca Smart</v>
          </cell>
          <cell r="C2794" t="str">
            <v xml:space="preserve">عملاء كاش </v>
          </cell>
          <cell r="D2794" t="str">
            <v>Reham Maher</v>
          </cell>
        </row>
        <row r="2795">
          <cell r="A2795" t="str">
            <v>كنافه نابلسيه</v>
          </cell>
          <cell r="B2795" t="str">
            <v>Horeca Smart</v>
          </cell>
          <cell r="C2795" t="str">
            <v xml:space="preserve">عملاء كاش </v>
          </cell>
          <cell r="D2795" t="str">
            <v>Reham Maher</v>
          </cell>
        </row>
        <row r="2796">
          <cell r="A2796" t="str">
            <v>كنوز الشرق التجاريه</v>
          </cell>
          <cell r="B2796" t="str">
            <v>Horeca Smart</v>
          </cell>
          <cell r="C2796" t="str">
            <v>موردين كاش</v>
          </cell>
          <cell r="D2796" t="str">
            <v>Amgad Ahmed</v>
          </cell>
        </row>
        <row r="2797">
          <cell r="A2797" t="str">
            <v>كوزى كو</v>
          </cell>
          <cell r="B2797" t="str">
            <v>Horeca Smart</v>
          </cell>
          <cell r="C2797" t="str">
            <v xml:space="preserve">عملاء كاش </v>
          </cell>
          <cell r="D2797" t="str">
            <v>Donia Khaled</v>
          </cell>
        </row>
        <row r="2798">
          <cell r="A2798" t="str">
            <v>كوزي - مصر الجديدة</v>
          </cell>
          <cell r="B2798" t="str">
            <v>Horeca Smart</v>
          </cell>
          <cell r="C2798" t="str">
            <v xml:space="preserve">عملاء كاش </v>
          </cell>
          <cell r="D2798" t="str">
            <v>Donia Khaled</v>
          </cell>
        </row>
        <row r="2799">
          <cell r="A2799" t="str">
            <v>كوفي بلاك BLAC</v>
          </cell>
          <cell r="B2799" t="str">
            <v>Horeca Smart</v>
          </cell>
          <cell r="C2799" t="str">
            <v xml:space="preserve">عملاء كاش </v>
          </cell>
          <cell r="D2799" t="str">
            <v>Reham Maher</v>
          </cell>
        </row>
        <row r="2800">
          <cell r="A2800" t="str">
            <v>كوفي شوب فريندز</v>
          </cell>
          <cell r="B2800" t="str">
            <v>Horeca Smart</v>
          </cell>
          <cell r="C2800" t="str">
            <v xml:space="preserve">عملاء كاش </v>
          </cell>
          <cell r="D2800" t="str">
            <v>Donia Khaled</v>
          </cell>
        </row>
        <row r="2801">
          <cell r="A2801" t="str">
            <v>كوك</v>
          </cell>
          <cell r="B2801" t="str">
            <v>Horeca Smart</v>
          </cell>
          <cell r="C2801" t="str">
            <v xml:space="preserve">عملاء كاش </v>
          </cell>
          <cell r="D2801" t="str">
            <v>Lames Magdy</v>
          </cell>
        </row>
        <row r="2802">
          <cell r="A2802" t="str">
            <v>كوك دور</v>
          </cell>
          <cell r="B2802" t="str">
            <v>Horeca Smart</v>
          </cell>
          <cell r="C2802" t="str">
            <v xml:space="preserve">عملاء كاش </v>
          </cell>
          <cell r="D2802" t="str">
            <v>Donia Khaled</v>
          </cell>
        </row>
        <row r="2803">
          <cell r="A2803" t="str">
            <v>كوكاكولا</v>
          </cell>
          <cell r="C2803" t="str">
            <v>موردين كاش</v>
          </cell>
          <cell r="D2803" t="str">
            <v>Amgad Ahmed</v>
          </cell>
        </row>
        <row r="2804">
          <cell r="A2804" t="str">
            <v>كوكسوينز</v>
          </cell>
          <cell r="B2804" t="str">
            <v>Horeca Smart</v>
          </cell>
          <cell r="C2804" t="str">
            <v xml:space="preserve">عملاء كاش </v>
          </cell>
          <cell r="D2804" t="str">
            <v>Donia Khaled</v>
          </cell>
        </row>
        <row r="2805">
          <cell r="A2805" t="str">
            <v>كونكورد لتجارة اللحوم</v>
          </cell>
          <cell r="B2805" t="str">
            <v>Horeca Smart</v>
          </cell>
          <cell r="C2805" t="str">
            <v xml:space="preserve">عملاء كاش </v>
          </cell>
          <cell r="D2805" t="str">
            <v>Donia Khaled</v>
          </cell>
        </row>
        <row r="2806">
          <cell r="A2806" t="str">
            <v>كونو فرايز</v>
          </cell>
          <cell r="B2806" t="str">
            <v>Horeca Smart</v>
          </cell>
          <cell r="C2806" t="str">
            <v xml:space="preserve">عملاء كاش </v>
          </cell>
          <cell r="D2806" t="str">
            <v>Donia Khaled</v>
          </cell>
        </row>
        <row r="2807">
          <cell r="A2807" t="str">
            <v>كوي سوشي</v>
          </cell>
          <cell r="B2807" t="str">
            <v>Horeca Smart</v>
          </cell>
          <cell r="C2807" t="str">
            <v xml:space="preserve">عملاء كاش </v>
          </cell>
          <cell r="D2807" t="str">
            <v>Lames Magdy</v>
          </cell>
        </row>
        <row r="2808">
          <cell r="A2808" t="str">
            <v>كوي سوشي, كوي سوشي, التجمع</v>
          </cell>
          <cell r="B2808" t="str">
            <v>Horeca Smart</v>
          </cell>
          <cell r="C2808" t="str">
            <v xml:space="preserve">عملاء كاش </v>
          </cell>
          <cell r="D2808" t="str">
            <v>Mona Mohamed</v>
          </cell>
        </row>
        <row r="2809">
          <cell r="A2809" t="str">
            <v>كوي سوشي, كوي سوشي, النزهة</v>
          </cell>
          <cell r="B2809" t="str">
            <v>Horeca Smart</v>
          </cell>
          <cell r="C2809" t="str">
            <v xml:space="preserve">عملاء كاش </v>
          </cell>
          <cell r="D2809" t="str">
            <v>Lames Magdy</v>
          </cell>
        </row>
        <row r="2810">
          <cell r="A2810" t="str">
            <v>كيان كافيه</v>
          </cell>
          <cell r="B2810" t="str">
            <v>Horeca Smart</v>
          </cell>
          <cell r="C2810" t="str">
            <v xml:space="preserve">عملاء كاش </v>
          </cell>
          <cell r="D2810" t="str">
            <v>Donia Khaled</v>
          </cell>
        </row>
        <row r="2811">
          <cell r="A2811" t="str">
            <v>كيان كافيه _ مدينة نصر</v>
          </cell>
          <cell r="B2811" t="str">
            <v>Horeca Smart</v>
          </cell>
          <cell r="C2811" t="str">
            <v xml:space="preserve">عملاء كاش </v>
          </cell>
          <cell r="D2811" t="str">
            <v>Reham Maher</v>
          </cell>
        </row>
        <row r="2812">
          <cell r="A2812" t="str">
            <v>كيك اند بيك</v>
          </cell>
          <cell r="B2812" t="str">
            <v>Horeca Smart</v>
          </cell>
          <cell r="C2812" t="str">
            <v xml:space="preserve">عملاء كاش </v>
          </cell>
          <cell r="D2812" t="str">
            <v>Lames Magdy</v>
          </cell>
        </row>
        <row r="2813">
          <cell r="A2813" t="str">
            <v>كيمبو</v>
          </cell>
          <cell r="B2813" t="str">
            <v>Horeca Smart</v>
          </cell>
          <cell r="C2813" t="str">
            <v xml:space="preserve">عملاء كاش </v>
          </cell>
          <cell r="D2813" t="str">
            <v>Donia Khaled</v>
          </cell>
        </row>
        <row r="2814">
          <cell r="A2814" t="str">
            <v>كينجدم سوشي</v>
          </cell>
          <cell r="B2814" t="str">
            <v>Horeca Smart</v>
          </cell>
          <cell r="C2814" t="str">
            <v xml:space="preserve">عملاء كاش </v>
          </cell>
          <cell r="D2814" t="str">
            <v>Donia Khaled</v>
          </cell>
        </row>
        <row r="2815">
          <cell r="A2815" t="str">
            <v>كيه لادراة المطاعم</v>
          </cell>
          <cell r="B2815" t="str">
            <v>Horeca Smart</v>
          </cell>
          <cell r="C2815" t="str">
            <v xml:space="preserve">عملاء كاش </v>
          </cell>
          <cell r="D2815" t="str">
            <v>Donia Khaled</v>
          </cell>
        </row>
        <row r="2816">
          <cell r="A2816" t="str">
            <v>لؤلؤة الشام للمأكولات السورية</v>
          </cell>
          <cell r="B2816" t="str">
            <v>Horeca Smart</v>
          </cell>
          <cell r="C2816" t="str">
            <v xml:space="preserve">عملاء كاش </v>
          </cell>
          <cell r="D2816" t="str">
            <v>Naden Amgad</v>
          </cell>
        </row>
        <row r="2817">
          <cell r="A2817" t="str">
            <v>لا دوميز</v>
          </cell>
          <cell r="B2817" t="str">
            <v>Horeca Smart</v>
          </cell>
          <cell r="C2817" t="str">
            <v xml:space="preserve">عملاء كاش </v>
          </cell>
          <cell r="D2817" t="str">
            <v>Donia Khaled</v>
          </cell>
        </row>
        <row r="2818">
          <cell r="A2818" t="str">
            <v>لابرو كافيه</v>
          </cell>
          <cell r="B2818" t="str">
            <v>Horeca Smart</v>
          </cell>
          <cell r="C2818" t="str">
            <v xml:space="preserve">عملاء كاش </v>
          </cell>
          <cell r="D2818" t="str">
            <v>Donia Khaled</v>
          </cell>
        </row>
        <row r="2819">
          <cell r="A2819" t="str">
            <v>لايف سناكس للتصنيع, لايف سناكس للتصنيع, لايف سناكس للتصنيع - المنطقة الصناعية</v>
          </cell>
          <cell r="B2819" t="str">
            <v>Horeca Smart</v>
          </cell>
          <cell r="C2819" t="str">
            <v xml:space="preserve">عملاء كاش </v>
          </cell>
          <cell r="D2819" t="str">
            <v>Mona Mohamed</v>
          </cell>
        </row>
        <row r="2820">
          <cell r="A2820" t="str">
            <v>لايف سناكس للتصنيع, لايف سناكس للتصنيع, لايف سناكس للتصنيع, Wunder Chocolatier</v>
          </cell>
          <cell r="B2820" t="str">
            <v>Horeca Smart</v>
          </cell>
          <cell r="C2820" t="str">
            <v xml:space="preserve">عملاء كاش </v>
          </cell>
          <cell r="D2820" t="str">
            <v>Naden Amgad</v>
          </cell>
        </row>
        <row r="2821">
          <cell r="A2821" t="str">
            <v>لكمة</v>
          </cell>
          <cell r="B2821" t="str">
            <v>Horeca Smart</v>
          </cell>
          <cell r="C2821" t="str">
            <v xml:space="preserve">عملاء كاش </v>
          </cell>
          <cell r="D2821" t="str">
            <v>Donia Khaled</v>
          </cell>
        </row>
        <row r="2822">
          <cell r="A2822" t="str">
            <v>لمار</v>
          </cell>
          <cell r="B2822" t="str">
            <v>MAS</v>
          </cell>
          <cell r="C2822" t="str">
            <v>موردين كاش</v>
          </cell>
          <cell r="D2822" t="str">
            <v>Amgad Ahmed</v>
          </cell>
        </row>
        <row r="2823">
          <cell r="A2823" t="str">
            <v>لمون نعناع</v>
          </cell>
          <cell r="B2823" t="str">
            <v>Horeca Smart</v>
          </cell>
          <cell r="C2823" t="str">
            <v xml:space="preserve">عملاء كاش </v>
          </cell>
          <cell r="D2823" t="str">
            <v>Donia Khaled</v>
          </cell>
        </row>
        <row r="2824">
          <cell r="A2824" t="str">
            <v>لورد</v>
          </cell>
          <cell r="B2824" t="str">
            <v>MAS</v>
          </cell>
          <cell r="C2824" t="str">
            <v xml:space="preserve">عملاء كاش </v>
          </cell>
          <cell r="D2824" t="str">
            <v>Haddil Haron</v>
          </cell>
        </row>
        <row r="2825">
          <cell r="A2825" t="str">
            <v>لي لي جوزيف</v>
          </cell>
          <cell r="B2825" t="str">
            <v>Horeca Smart</v>
          </cell>
          <cell r="C2825" t="str">
            <v xml:space="preserve">عملاء كاش </v>
          </cell>
          <cell r="D2825" t="str">
            <v>Donia Khaled</v>
          </cell>
        </row>
        <row r="2826">
          <cell r="A2826" t="str">
            <v>ليالي الحجاز</v>
          </cell>
          <cell r="B2826" t="str">
            <v>Horeca Smart</v>
          </cell>
          <cell r="C2826" t="str">
            <v xml:space="preserve">عملاء كاش </v>
          </cell>
          <cell r="D2826" t="str">
            <v>Donia Khaled</v>
          </cell>
        </row>
        <row r="2827">
          <cell r="A2827" t="str">
            <v>ليالي الشام - الرحاب</v>
          </cell>
          <cell r="B2827" t="str">
            <v>Horeca Smart</v>
          </cell>
          <cell r="C2827" t="str">
            <v xml:space="preserve">عملاء كاش </v>
          </cell>
          <cell r="D2827" t="str">
            <v>Lames Magdy</v>
          </cell>
        </row>
        <row r="2828">
          <cell r="A2828" t="str">
            <v>ليوان الشام للمأكولات السورية</v>
          </cell>
          <cell r="B2828" t="str">
            <v>Horeca Smart</v>
          </cell>
          <cell r="C2828" t="str">
            <v xml:space="preserve">عملاء كاش </v>
          </cell>
          <cell r="D2828" t="str">
            <v>Donia Khaled</v>
          </cell>
        </row>
        <row r="2829">
          <cell r="A2829" t="str">
            <v>مؤسسة البركة</v>
          </cell>
          <cell r="B2829" t="str">
            <v>Horeca Smart</v>
          </cell>
          <cell r="C2829" t="str">
            <v xml:space="preserve">عملاء كاش </v>
          </cell>
          <cell r="D2829" t="str">
            <v>Donia Khaled</v>
          </cell>
        </row>
        <row r="2830">
          <cell r="A2830" t="str">
            <v>مؤسسة بريمة</v>
          </cell>
          <cell r="B2830" t="str">
            <v>MAS</v>
          </cell>
          <cell r="C2830" t="str">
            <v xml:space="preserve">عملاء كاش </v>
          </cell>
          <cell r="D2830" t="str">
            <v>Donia Khaled</v>
          </cell>
        </row>
        <row r="2831">
          <cell r="A2831" t="str">
            <v>مؤسسة فاملي بلاس</v>
          </cell>
          <cell r="B2831" t="str">
            <v>MAS</v>
          </cell>
          <cell r="C2831" t="str">
            <v>موردين كاش</v>
          </cell>
          <cell r="D2831" t="str">
            <v>Amgad Ahmed</v>
          </cell>
        </row>
        <row r="2832">
          <cell r="A2832" t="str">
            <v>مؤسسة يونيتد لتجارة وتوريدات المواد الغذائية</v>
          </cell>
          <cell r="B2832" t="str">
            <v>Horeca Smart</v>
          </cell>
          <cell r="C2832" t="str">
            <v xml:space="preserve">عملاء كاش </v>
          </cell>
          <cell r="D2832" t="str">
            <v>Donia Khaled</v>
          </cell>
        </row>
        <row r="2833">
          <cell r="A2833" t="str">
            <v>مؤسسه الياسمين للتوريدات</v>
          </cell>
          <cell r="B2833" t="str">
            <v>Horeca Smart</v>
          </cell>
          <cell r="C2833" t="str">
            <v xml:space="preserve">عملاء كاش </v>
          </cell>
          <cell r="D2833" t="str">
            <v>Donia Khaled</v>
          </cell>
        </row>
        <row r="2834">
          <cell r="A2834" t="str">
            <v>مؤمن كمال محمد خير خوجلي</v>
          </cell>
          <cell r="B2834" t="str">
            <v>Horeca Smart</v>
          </cell>
          <cell r="C2834" t="str">
            <v xml:space="preserve">عملاء كاش </v>
          </cell>
          <cell r="D2834" t="str">
            <v>Reham Maher</v>
          </cell>
        </row>
        <row r="2835">
          <cell r="A2835" t="str">
            <v>ماتكو للمخبوزات</v>
          </cell>
          <cell r="B2835" t="str">
            <v>Horeca Smart</v>
          </cell>
          <cell r="C2835" t="str">
            <v xml:space="preserve">عملاء كاش </v>
          </cell>
          <cell r="D2835" t="str">
            <v>Donia Khaled</v>
          </cell>
        </row>
        <row r="2836">
          <cell r="A2836" t="str">
            <v>ماد سوشي, ماد سوشي -المخزن</v>
          </cell>
          <cell r="B2836" t="str">
            <v>Horeca Smart</v>
          </cell>
          <cell r="C2836" t="str">
            <v xml:space="preserve">عملاء كاش </v>
          </cell>
          <cell r="D2836" t="str">
            <v>Naden Amgad</v>
          </cell>
        </row>
        <row r="2837">
          <cell r="A2837" t="str">
            <v>مارشيه للتوريدات العامه</v>
          </cell>
          <cell r="C2837" t="str">
            <v xml:space="preserve">عملاء كاش </v>
          </cell>
          <cell r="D2837" t="str">
            <v>Khaled Assem</v>
          </cell>
        </row>
        <row r="2838">
          <cell r="A2838" t="str">
            <v>مارك فود</v>
          </cell>
          <cell r="B2838" t="str">
            <v>Horeca Smart</v>
          </cell>
          <cell r="C2838" t="str">
            <v xml:space="preserve">عملاء كاش </v>
          </cell>
          <cell r="D2838" t="str">
            <v>Donia Khaled</v>
          </cell>
        </row>
        <row r="2839">
          <cell r="A2839" t="str">
            <v>مارينو</v>
          </cell>
          <cell r="B2839" t="str">
            <v>Horeca Smart</v>
          </cell>
          <cell r="C2839" t="str">
            <v xml:space="preserve">عملاء كاش </v>
          </cell>
          <cell r="D2839" t="str">
            <v>Lames Magdy</v>
          </cell>
        </row>
        <row r="2840">
          <cell r="A2840" t="str">
            <v>مازن مورد</v>
          </cell>
          <cell r="C2840" t="str">
            <v>موردين كاش</v>
          </cell>
          <cell r="D2840" t="str">
            <v>Amgad Ahmed</v>
          </cell>
        </row>
        <row r="2841">
          <cell r="A2841" t="str">
            <v>ماستر كافيه</v>
          </cell>
          <cell r="B2841" t="str">
            <v>Horeca Smart</v>
          </cell>
          <cell r="C2841" t="str">
            <v xml:space="preserve">عملاء كاش </v>
          </cell>
          <cell r="D2841" t="str">
            <v>Donia Khaled</v>
          </cell>
        </row>
        <row r="2842">
          <cell r="A2842" t="str">
            <v>ماستر كامبني</v>
          </cell>
          <cell r="B2842" t="str">
            <v>Horeca Smart</v>
          </cell>
          <cell r="C2842" t="str">
            <v xml:space="preserve">عملاء كاش </v>
          </cell>
          <cell r="D2842" t="str">
            <v>Donia Khaled</v>
          </cell>
        </row>
        <row r="2843">
          <cell r="A2843" t="str">
            <v>محمد ايهاب</v>
          </cell>
          <cell r="B2843" t="str">
            <v>Horeca Smart</v>
          </cell>
          <cell r="C2843" t="str">
            <v xml:space="preserve">عملاء كاش </v>
          </cell>
          <cell r="D2843" t="str">
            <v>Naden Amgad</v>
          </cell>
        </row>
        <row r="2844">
          <cell r="A2844" t="str">
            <v>محمد سعيد للتوريدات ( عميل - مورد )</v>
          </cell>
          <cell r="B2844" t="str">
            <v>MAS</v>
          </cell>
          <cell r="C2844" t="str">
            <v xml:space="preserve">عملاء كاش </v>
          </cell>
          <cell r="D2844" t="str">
            <v>Amgad Ahmed</v>
          </cell>
        </row>
        <row r="2845">
          <cell r="A2845" t="str">
            <v>محمد عبد الرحيم للتوريدات</v>
          </cell>
          <cell r="B2845" t="str">
            <v>Horeca Smart</v>
          </cell>
          <cell r="C2845" t="str">
            <v xml:space="preserve">عملاء كاش </v>
          </cell>
          <cell r="D2845" t="str">
            <v>Donia Khaled</v>
          </cell>
        </row>
        <row r="2846">
          <cell r="A2846" t="str">
            <v>محمد عبدالنبى</v>
          </cell>
          <cell r="C2846" t="str">
            <v>موردين كاش</v>
          </cell>
          <cell r="D2846" t="str">
            <v>Amgad Ahmed</v>
          </cell>
        </row>
        <row r="2847">
          <cell r="A2847" t="str">
            <v>محمد عزت - مشرف كرتونه</v>
          </cell>
          <cell r="B2847" t="str">
            <v>MAS</v>
          </cell>
          <cell r="C2847" t="str">
            <v xml:space="preserve">عملاء كاش </v>
          </cell>
          <cell r="D2847" t="str">
            <v>Haddil Haron</v>
          </cell>
        </row>
        <row r="2848">
          <cell r="A2848" t="str">
            <v>محمد مورد البدران</v>
          </cell>
          <cell r="B2848" t="str">
            <v>Horeca Smart</v>
          </cell>
          <cell r="C2848" t="str">
            <v>موردين كاش</v>
          </cell>
          <cell r="D2848" t="str">
            <v>Rasha Hassan</v>
          </cell>
        </row>
        <row r="2849">
          <cell r="A2849" t="str">
            <v>محمود عرفه للتوريدات</v>
          </cell>
          <cell r="B2849" t="str">
            <v>Horeca Smart</v>
          </cell>
          <cell r="C2849" t="str">
            <v xml:space="preserve">عملاء كاش </v>
          </cell>
          <cell r="D2849" t="str">
            <v>Shorouk khaled</v>
          </cell>
        </row>
        <row r="2850">
          <cell r="A2850" t="str">
            <v>محمود ناصر الراشدين</v>
          </cell>
          <cell r="B2850" t="str">
            <v>MAS</v>
          </cell>
          <cell r="C2850" t="str">
            <v xml:space="preserve">عملاء كاش </v>
          </cell>
          <cell r="D2850" t="str">
            <v>Donia Khaled</v>
          </cell>
        </row>
        <row r="2851">
          <cell r="A2851" t="str">
            <v>مخبز أبناء اسيوط</v>
          </cell>
          <cell r="B2851" t="str">
            <v>Horeca Smart</v>
          </cell>
          <cell r="C2851" t="str">
            <v xml:space="preserve">عملاء كاش </v>
          </cell>
          <cell r="D2851" t="str">
            <v>Donia Khaled</v>
          </cell>
        </row>
        <row r="2852">
          <cell r="A2852" t="str">
            <v>مخبز ابو اسلام</v>
          </cell>
          <cell r="B2852" t="str">
            <v>Horeca Smart</v>
          </cell>
          <cell r="C2852" t="str">
            <v xml:space="preserve">عملاء كاش </v>
          </cell>
          <cell r="D2852" t="str">
            <v>Reham Maher</v>
          </cell>
        </row>
        <row r="2853">
          <cell r="A2853" t="str">
            <v>مخبز اكسبريس</v>
          </cell>
          <cell r="B2853" t="str">
            <v>Horeca Smart</v>
          </cell>
          <cell r="C2853" t="str">
            <v xml:space="preserve">عملاء كاش </v>
          </cell>
          <cell r="D2853" t="str">
            <v>Reham Maher</v>
          </cell>
        </row>
        <row r="2854">
          <cell r="A2854" t="str">
            <v>مخبز ال مدينه</v>
          </cell>
          <cell r="B2854" t="str">
            <v>Horeca Smart</v>
          </cell>
          <cell r="C2854" t="str">
            <v xml:space="preserve">عملاء كاش </v>
          </cell>
          <cell r="D2854" t="str">
            <v>Shorouk khaled</v>
          </cell>
        </row>
        <row r="2855">
          <cell r="A2855" t="str">
            <v>مخبز الأشراف</v>
          </cell>
          <cell r="B2855" t="str">
            <v>Horeca Smart</v>
          </cell>
          <cell r="C2855" t="str">
            <v xml:space="preserve">عملاء كاش </v>
          </cell>
          <cell r="D2855" t="str">
            <v>Naden Amgad</v>
          </cell>
        </row>
        <row r="2856">
          <cell r="A2856" t="str">
            <v>مخبز الاخلاص</v>
          </cell>
          <cell r="B2856" t="str">
            <v>Horeca Smart</v>
          </cell>
          <cell r="C2856" t="str">
            <v xml:space="preserve">عملاء كاش </v>
          </cell>
          <cell r="D2856" t="str">
            <v>Naden Amgad</v>
          </cell>
        </row>
        <row r="2857">
          <cell r="A2857" t="str">
            <v>مخبز الاندلس</v>
          </cell>
          <cell r="B2857" t="str">
            <v>Horeca Smart</v>
          </cell>
          <cell r="C2857" t="str">
            <v xml:space="preserve">عملاء كاش </v>
          </cell>
          <cell r="D2857" t="str">
            <v>Naden Amgad</v>
          </cell>
        </row>
        <row r="2858">
          <cell r="A2858" t="str">
            <v>مخبز الاندلس _ إمبابة</v>
          </cell>
          <cell r="B2858" t="str">
            <v>Horeca Smart</v>
          </cell>
          <cell r="C2858" t="str">
            <v xml:space="preserve">عملاء كاش </v>
          </cell>
          <cell r="D2858" t="str">
            <v>Naden Amgad</v>
          </cell>
        </row>
        <row r="2859">
          <cell r="A2859" t="str">
            <v>مخبز الاندلس, مخبز الاندلس, حدائق القبة</v>
          </cell>
          <cell r="B2859" t="str">
            <v>Horeca Smart</v>
          </cell>
          <cell r="C2859" t="str">
            <v xml:space="preserve">عملاء كاش </v>
          </cell>
          <cell r="D2859" t="str">
            <v>Naden Amgad</v>
          </cell>
        </row>
        <row r="2860">
          <cell r="A2860" t="str">
            <v>مخبز البتول</v>
          </cell>
          <cell r="B2860" t="str">
            <v>Horeca Smart</v>
          </cell>
          <cell r="C2860" t="str">
            <v xml:space="preserve">عملاء كاش </v>
          </cell>
          <cell r="D2860" t="str">
            <v>Donia Khaled</v>
          </cell>
        </row>
        <row r="2861">
          <cell r="A2861" t="str">
            <v>مخبز البركة - مدينة نصر</v>
          </cell>
          <cell r="B2861" t="str">
            <v>Horeca Smart</v>
          </cell>
          <cell r="C2861" t="str">
            <v xml:space="preserve">عملاء كاش </v>
          </cell>
          <cell r="D2861" t="str">
            <v>Reham Maher</v>
          </cell>
        </row>
        <row r="2862">
          <cell r="A2862" t="str">
            <v>مخبز البركة-المنطقة السابعة</v>
          </cell>
          <cell r="B2862" t="str">
            <v>Horeca Smart</v>
          </cell>
          <cell r="C2862" t="str">
            <v xml:space="preserve">عملاء كاش </v>
          </cell>
          <cell r="D2862" t="str">
            <v>Lames Magdy</v>
          </cell>
        </row>
        <row r="2863">
          <cell r="A2863" t="str">
            <v>مخبز الجوهرة</v>
          </cell>
          <cell r="B2863" t="str">
            <v>Horeca Smart</v>
          </cell>
          <cell r="C2863" t="str">
            <v xml:space="preserve">عملاء كاش </v>
          </cell>
          <cell r="D2863" t="str">
            <v>Naden Amgad</v>
          </cell>
        </row>
        <row r="2864">
          <cell r="A2864" t="str">
            <v>مخبز الحجاز</v>
          </cell>
          <cell r="B2864" t="str">
            <v>Horeca Smart</v>
          </cell>
          <cell r="C2864" t="str">
            <v xml:space="preserve">عملاء كاش </v>
          </cell>
          <cell r="D2864" t="str">
            <v>Lames Magdy</v>
          </cell>
        </row>
        <row r="2865">
          <cell r="A2865" t="str">
            <v>مخبز الحرية, مخبز الحرية, 1- الدقي</v>
          </cell>
          <cell r="B2865" t="str">
            <v>Horeca Smart</v>
          </cell>
          <cell r="C2865" t="str">
            <v xml:space="preserve">عملاء كاش </v>
          </cell>
          <cell r="D2865" t="str">
            <v>Naden Amgad</v>
          </cell>
        </row>
        <row r="2866">
          <cell r="A2866" t="str">
            <v>مخبز الحرية, مخبز الحرية, 2- الدقي</v>
          </cell>
          <cell r="B2866" t="str">
            <v>Horeca Smart</v>
          </cell>
          <cell r="C2866" t="str">
            <v xml:space="preserve">عملاء كاش </v>
          </cell>
          <cell r="D2866" t="str">
            <v>Naden Amgad</v>
          </cell>
        </row>
        <row r="2867">
          <cell r="A2867" t="str">
            <v>مخبز الحرية, مخبز الحرية, العجوزة</v>
          </cell>
          <cell r="B2867" t="str">
            <v>Horeca Smart</v>
          </cell>
          <cell r="C2867" t="str">
            <v xml:space="preserve">عملاء كاش </v>
          </cell>
          <cell r="D2867" t="str">
            <v>Naden Amgad</v>
          </cell>
        </row>
        <row r="2868">
          <cell r="A2868" t="str">
            <v>مخبز الحرية, مخبز الحرية, النزهة</v>
          </cell>
          <cell r="B2868" t="str">
            <v>Horeca Smart</v>
          </cell>
          <cell r="C2868" t="str">
            <v xml:space="preserve">عملاء كاش </v>
          </cell>
          <cell r="D2868" t="str">
            <v>Reham Maher</v>
          </cell>
        </row>
        <row r="2869">
          <cell r="A2869" t="str">
            <v>مخبز الحرية, مخبز الحرية, جزيرة ميت عقبة</v>
          </cell>
          <cell r="B2869" t="str">
            <v>Horeca Smart</v>
          </cell>
          <cell r="C2869" t="str">
            <v xml:space="preserve">عملاء كاش </v>
          </cell>
          <cell r="D2869" t="str">
            <v>Naden Amgad</v>
          </cell>
        </row>
        <row r="2870">
          <cell r="A2870" t="str">
            <v>مخبز الحسين</v>
          </cell>
          <cell r="B2870" t="str">
            <v>Horeca Smart</v>
          </cell>
          <cell r="C2870" t="str">
            <v xml:space="preserve">عملاء كاش </v>
          </cell>
          <cell r="D2870" t="str">
            <v>Reham Maher</v>
          </cell>
        </row>
        <row r="2871">
          <cell r="A2871" t="str">
            <v>مخبز الحمد</v>
          </cell>
          <cell r="B2871" t="str">
            <v>Horeca Smart</v>
          </cell>
          <cell r="C2871" t="str">
            <v xml:space="preserve">عملاء كاش </v>
          </cell>
          <cell r="D2871" t="str">
            <v>Reham Maher</v>
          </cell>
        </row>
        <row r="2872">
          <cell r="A2872" t="str">
            <v>مخبز الراية الملكية</v>
          </cell>
          <cell r="B2872" t="str">
            <v>Horeca Smart</v>
          </cell>
          <cell r="C2872" t="str">
            <v xml:space="preserve">عملاء كاش </v>
          </cell>
          <cell r="D2872" t="str">
            <v>Donia Khaled</v>
          </cell>
        </row>
        <row r="2873">
          <cell r="A2873" t="str">
            <v>مخبز الرضا</v>
          </cell>
          <cell r="B2873" t="str">
            <v>Horeca Smart</v>
          </cell>
          <cell r="C2873" t="str">
            <v xml:space="preserve">عملاء كاش </v>
          </cell>
          <cell r="D2873" t="str">
            <v>Reham Maher</v>
          </cell>
        </row>
        <row r="2874">
          <cell r="A2874" t="str">
            <v>مخبز الرياض</v>
          </cell>
          <cell r="B2874" t="str">
            <v>Horeca Smart</v>
          </cell>
          <cell r="C2874" t="str">
            <v xml:space="preserve">عملاء كاش </v>
          </cell>
          <cell r="D2874" t="str">
            <v>Donia Khaled</v>
          </cell>
        </row>
        <row r="2875">
          <cell r="A2875" t="str">
            <v>مخبز الريان</v>
          </cell>
          <cell r="B2875" t="str">
            <v>Horeca Smart</v>
          </cell>
          <cell r="C2875" t="str">
            <v xml:space="preserve">عملاء كاش </v>
          </cell>
          <cell r="D2875" t="str">
            <v>Naden Amgad</v>
          </cell>
        </row>
        <row r="2876">
          <cell r="A2876" t="str">
            <v>مخبز السنابل</v>
          </cell>
          <cell r="B2876" t="str">
            <v>Horeca Smart</v>
          </cell>
          <cell r="C2876" t="str">
            <v xml:space="preserve">عملاء كاش </v>
          </cell>
          <cell r="D2876" t="str">
            <v>Donia Khaled</v>
          </cell>
        </row>
        <row r="2877">
          <cell r="A2877" t="str">
            <v>مخبز الشيخ حسنى</v>
          </cell>
          <cell r="B2877" t="str">
            <v>Horeca Smart</v>
          </cell>
          <cell r="C2877" t="str">
            <v xml:space="preserve">عملاء كاش </v>
          </cell>
          <cell r="D2877" t="str">
            <v>Naden Amgad</v>
          </cell>
        </row>
        <row r="2878">
          <cell r="A2878" t="str">
            <v>مخبز الطيب</v>
          </cell>
          <cell r="B2878" t="str">
            <v>Horeca Smart</v>
          </cell>
          <cell r="C2878" t="str">
            <v xml:space="preserve">عملاء كاش </v>
          </cell>
          <cell r="D2878" t="str">
            <v>Donia Khaled</v>
          </cell>
        </row>
        <row r="2879">
          <cell r="A2879" t="str">
            <v>مخبز العائلات</v>
          </cell>
          <cell r="B2879" t="str">
            <v>Horeca Smart</v>
          </cell>
          <cell r="C2879" t="str">
            <v xml:space="preserve">عملاء كاش </v>
          </cell>
          <cell r="D2879" t="str">
            <v>Donia Khaled</v>
          </cell>
        </row>
        <row r="2880">
          <cell r="A2880" t="str">
            <v>مخبز العطارة السورية</v>
          </cell>
          <cell r="B2880" t="str">
            <v>Horeca Smart</v>
          </cell>
          <cell r="C2880" t="str">
            <v xml:space="preserve">عملاء كاش </v>
          </cell>
          <cell r="D2880" t="str">
            <v>Reham Maher</v>
          </cell>
        </row>
        <row r="2881">
          <cell r="A2881" t="str">
            <v>مخبز العمدة</v>
          </cell>
          <cell r="B2881" t="str">
            <v>Horeca Smart</v>
          </cell>
          <cell r="C2881" t="str">
            <v xml:space="preserve">عملاء كاش </v>
          </cell>
          <cell r="D2881" t="str">
            <v>Naden Amgad</v>
          </cell>
        </row>
        <row r="2882">
          <cell r="A2882" t="str">
            <v>مخبز الفتح - مدينة نصر</v>
          </cell>
          <cell r="B2882" t="str">
            <v>Horeca Smart</v>
          </cell>
          <cell r="C2882" t="str">
            <v xml:space="preserve">عملاء كاش </v>
          </cell>
          <cell r="D2882" t="str">
            <v>Reham Maher</v>
          </cell>
        </row>
        <row r="2883">
          <cell r="A2883" t="str">
            <v>مخبز الفتح - مصر الجديدة</v>
          </cell>
          <cell r="B2883" t="str">
            <v>Horeca Smart</v>
          </cell>
          <cell r="C2883" t="str">
            <v xml:space="preserve">عملاء كاش </v>
          </cell>
          <cell r="D2883" t="str">
            <v>Donia Khaled</v>
          </cell>
        </row>
        <row r="2884">
          <cell r="A2884" t="str">
            <v>مخبز الفرسان</v>
          </cell>
          <cell r="B2884" t="str">
            <v>Horeca Smart</v>
          </cell>
          <cell r="C2884" t="str">
            <v xml:space="preserve">عملاء كاش </v>
          </cell>
          <cell r="D2884" t="str">
            <v>Mona Mohamed</v>
          </cell>
        </row>
        <row r="2885">
          <cell r="A2885" t="str">
            <v>مخبز الكعبة الشريفة</v>
          </cell>
          <cell r="B2885" t="str">
            <v>Horeca Smart</v>
          </cell>
          <cell r="C2885" t="str">
            <v xml:space="preserve">عملاء كاش </v>
          </cell>
          <cell r="D2885" t="str">
            <v>Donia Khaled</v>
          </cell>
        </row>
        <row r="2886">
          <cell r="A2886" t="str">
            <v>مخبز المدينة</v>
          </cell>
          <cell r="B2886" t="str">
            <v>Horeca Smart</v>
          </cell>
          <cell r="C2886" t="str">
            <v xml:space="preserve">عملاء كاش </v>
          </cell>
          <cell r="D2886" t="str">
            <v>Naden Amgad</v>
          </cell>
        </row>
        <row r="2887">
          <cell r="A2887" t="str">
            <v>مخبز المدينة المنورة - التجمع</v>
          </cell>
          <cell r="B2887" t="str">
            <v>Horeca Smart</v>
          </cell>
          <cell r="C2887" t="str">
            <v xml:space="preserve">عملاء كاش </v>
          </cell>
          <cell r="D2887" t="str">
            <v>Donia Khaled</v>
          </cell>
        </row>
        <row r="2888">
          <cell r="A2888" t="str">
            <v>مخبز المدينة المنورة - الزيتون</v>
          </cell>
          <cell r="B2888" t="str">
            <v>Horeca Smart</v>
          </cell>
          <cell r="C2888" t="str">
            <v xml:space="preserve">عملاء كاش </v>
          </cell>
          <cell r="D2888" t="str">
            <v>Donia Khaled</v>
          </cell>
        </row>
        <row r="2889">
          <cell r="A2889" t="str">
            <v>مخبز المدينة المنورة - الهرم</v>
          </cell>
          <cell r="B2889" t="str">
            <v>Horeca Smart</v>
          </cell>
          <cell r="C2889" t="str">
            <v xml:space="preserve">عملاء كاش </v>
          </cell>
          <cell r="D2889" t="str">
            <v>Naden Amgad</v>
          </cell>
        </row>
        <row r="2890">
          <cell r="A2890" t="str">
            <v>مخبز المدينة المنورة - مدينة نصر</v>
          </cell>
          <cell r="B2890" t="str">
            <v>Horeca Smart</v>
          </cell>
          <cell r="C2890" t="str">
            <v xml:space="preserve">عملاء كاش </v>
          </cell>
          <cell r="D2890" t="str">
            <v>Reham Maher</v>
          </cell>
        </row>
        <row r="2891">
          <cell r="A2891" t="str">
            <v>مخبز المدينة المنورة-شبرا</v>
          </cell>
          <cell r="B2891" t="str">
            <v>Horeca Smart</v>
          </cell>
          <cell r="C2891" t="str">
            <v xml:space="preserve">عملاء كاش </v>
          </cell>
          <cell r="D2891" t="str">
            <v>Donia Khaled</v>
          </cell>
        </row>
        <row r="2892">
          <cell r="A2892" t="str">
            <v>مخبز الملكة</v>
          </cell>
          <cell r="B2892" t="str">
            <v>Horeca Smart</v>
          </cell>
          <cell r="C2892" t="str">
            <v xml:space="preserve">عملاء كاش </v>
          </cell>
          <cell r="D2892" t="str">
            <v>Donia Khaled</v>
          </cell>
        </row>
        <row r="2893">
          <cell r="A2893" t="str">
            <v>مخبز الملكه 3</v>
          </cell>
          <cell r="B2893" t="str">
            <v>Horeca Smart</v>
          </cell>
          <cell r="C2893" t="str">
            <v xml:space="preserve">عملاء كاش </v>
          </cell>
          <cell r="D2893" t="str">
            <v>Lames Magdy</v>
          </cell>
        </row>
        <row r="2894">
          <cell r="A2894" t="str">
            <v>مخبز المنصوره</v>
          </cell>
          <cell r="B2894" t="str">
            <v>Horeca Smart</v>
          </cell>
          <cell r="C2894" t="str">
            <v xml:space="preserve">عملاء كاش </v>
          </cell>
          <cell r="D2894" t="str">
            <v>Naden Amgad</v>
          </cell>
        </row>
        <row r="2895">
          <cell r="A2895" t="str">
            <v>مخبز بسبوستي</v>
          </cell>
          <cell r="B2895" t="str">
            <v>Horeca Smart</v>
          </cell>
          <cell r="C2895" t="str">
            <v xml:space="preserve">عملاء كاش </v>
          </cell>
          <cell r="D2895" t="str">
            <v>Reham Maher</v>
          </cell>
        </row>
        <row r="2896">
          <cell r="A2896" t="str">
            <v>مخبز بشبش</v>
          </cell>
          <cell r="B2896" t="str">
            <v>Horeca Smart</v>
          </cell>
          <cell r="C2896" t="str">
            <v xml:space="preserve">عملاء كاش </v>
          </cell>
          <cell r="D2896" t="str">
            <v>Naden Amgad</v>
          </cell>
        </row>
        <row r="2897">
          <cell r="A2897" t="str">
            <v>مخبز بولانجيه</v>
          </cell>
          <cell r="B2897" t="str">
            <v>Horeca Smart</v>
          </cell>
          <cell r="C2897" t="str">
            <v xml:space="preserve">عملاء كاش </v>
          </cell>
          <cell r="D2897" t="str">
            <v>Reham Maher</v>
          </cell>
        </row>
        <row r="2898">
          <cell r="A2898" t="str">
            <v>مخبز بيتي بان</v>
          </cell>
          <cell r="B2898" t="str">
            <v>Horeca Smart</v>
          </cell>
          <cell r="C2898" t="str">
            <v xml:space="preserve">عملاء كاش </v>
          </cell>
          <cell r="D2898" t="str">
            <v>Reham Maher</v>
          </cell>
        </row>
        <row r="2899">
          <cell r="A2899" t="str">
            <v>مخبز خبازينو</v>
          </cell>
          <cell r="B2899" t="str">
            <v>Horeca Smart</v>
          </cell>
          <cell r="C2899" t="str">
            <v xml:space="preserve">عملاء كاش </v>
          </cell>
          <cell r="D2899" t="str">
            <v>Naden Amgad</v>
          </cell>
        </row>
        <row r="2900">
          <cell r="A2900" t="str">
            <v>مخبز خبازينو 2</v>
          </cell>
          <cell r="B2900" t="str">
            <v>Horeca Smart</v>
          </cell>
          <cell r="C2900" t="str">
            <v xml:space="preserve">عملاء كاش </v>
          </cell>
          <cell r="D2900" t="str">
            <v>Naden Amgad</v>
          </cell>
        </row>
        <row r="2901">
          <cell r="A2901" t="str">
            <v>مخبز خمس نجوم</v>
          </cell>
          <cell r="B2901" t="str">
            <v>Horeca Smart</v>
          </cell>
          <cell r="C2901" t="str">
            <v xml:space="preserve">عملاء كاش </v>
          </cell>
          <cell r="D2901" t="str">
            <v>Lames Magdy</v>
          </cell>
        </row>
        <row r="2902">
          <cell r="A2902" t="str">
            <v>مخبز خمس نجوم, مخبز خمس نجوم, (المعادي)</v>
          </cell>
          <cell r="B2902" t="str">
            <v>Horeca Smart</v>
          </cell>
          <cell r="C2902" t="str">
            <v xml:space="preserve">عملاء كاش </v>
          </cell>
          <cell r="D2902" t="str">
            <v>Lames Magdy</v>
          </cell>
        </row>
        <row r="2903">
          <cell r="A2903" t="str">
            <v>مخبز خمس نجوم, مخبز خمس نجوم, الحي العاشر</v>
          </cell>
          <cell r="B2903" t="str">
            <v>Horeca Smart</v>
          </cell>
          <cell r="C2903" t="str">
            <v xml:space="preserve">عملاء كاش </v>
          </cell>
          <cell r="D2903" t="str">
            <v>Lames Magdy</v>
          </cell>
        </row>
        <row r="2904">
          <cell r="A2904" t="str">
            <v>مخبز خير بلدنا</v>
          </cell>
          <cell r="B2904" t="str">
            <v>Horeca Smart</v>
          </cell>
          <cell r="C2904" t="str">
            <v xml:space="preserve">عملاء كاش </v>
          </cell>
          <cell r="D2904" t="str">
            <v>Donia Khaled</v>
          </cell>
        </row>
        <row r="2905">
          <cell r="A2905" t="str">
            <v>مخبز خير بلدنا, مخبز خير بلدنا, ابن النفيس</v>
          </cell>
          <cell r="B2905" t="str">
            <v>Horeca Smart</v>
          </cell>
          <cell r="C2905" t="str">
            <v xml:space="preserve">عملاء كاش </v>
          </cell>
          <cell r="D2905" t="str">
            <v>Donia Khaled</v>
          </cell>
        </row>
        <row r="2906">
          <cell r="A2906" t="str">
            <v>مخبز خير بلدنا, مخبز خير بلدنا, ابن حنبل</v>
          </cell>
          <cell r="B2906" t="str">
            <v>Horeca Smart</v>
          </cell>
          <cell r="C2906" t="str">
            <v xml:space="preserve">عملاء كاش </v>
          </cell>
          <cell r="D2906" t="str">
            <v>Donia Khaled</v>
          </cell>
        </row>
        <row r="2907">
          <cell r="A2907" t="str">
            <v>مخبز زمزم - التجمع</v>
          </cell>
          <cell r="B2907" t="str">
            <v>Horeca Smart</v>
          </cell>
          <cell r="C2907" t="str">
            <v xml:space="preserve">عملاء كاش </v>
          </cell>
          <cell r="D2907" t="str">
            <v>Donia Khaled</v>
          </cell>
        </row>
        <row r="2908">
          <cell r="A2908" t="str">
            <v>مخبز زمزم - العمرانيه</v>
          </cell>
          <cell r="B2908" t="str">
            <v>Horeca Smart</v>
          </cell>
          <cell r="C2908" t="str">
            <v xml:space="preserve">عملاء كاش </v>
          </cell>
          <cell r="D2908" t="str">
            <v>Naden Amgad</v>
          </cell>
        </row>
        <row r="2909">
          <cell r="A2909" t="str">
            <v>مخبز زمزم - مدينة نصر</v>
          </cell>
          <cell r="B2909" t="str">
            <v>Horeca Smart</v>
          </cell>
          <cell r="C2909" t="str">
            <v xml:space="preserve">عملاء كاش </v>
          </cell>
          <cell r="D2909" t="str">
            <v>Reham Maher</v>
          </cell>
        </row>
        <row r="2910">
          <cell r="A2910" t="str">
            <v>مخبز سراي القبه</v>
          </cell>
          <cell r="B2910" t="str">
            <v>Horeca Smart</v>
          </cell>
          <cell r="C2910" t="str">
            <v xml:space="preserve">عملاء كاش </v>
          </cell>
          <cell r="D2910" t="str">
            <v>Donia Khaled</v>
          </cell>
        </row>
        <row r="2911">
          <cell r="A2911" t="str">
            <v>مخبز سلسبيل-الحى الثامن</v>
          </cell>
          <cell r="B2911" t="str">
            <v>Horeca Smart</v>
          </cell>
          <cell r="C2911" t="str">
            <v xml:space="preserve">عملاء كاش </v>
          </cell>
          <cell r="D2911" t="str">
            <v>Reham Maher</v>
          </cell>
        </row>
        <row r="2912">
          <cell r="A2912" t="str">
            <v>مخبز سلسبيل-الحي العاشر</v>
          </cell>
          <cell r="B2912" t="str">
            <v>Horeca Smart</v>
          </cell>
          <cell r="C2912" t="str">
            <v xml:space="preserve">عملاء كاش </v>
          </cell>
          <cell r="D2912" t="str">
            <v>Reham Maher</v>
          </cell>
        </row>
        <row r="2913">
          <cell r="A2913" t="str">
            <v>مخبز سنابل</v>
          </cell>
          <cell r="B2913" t="str">
            <v>Horeca Smart</v>
          </cell>
          <cell r="C2913" t="str">
            <v xml:space="preserve">عملاء كاش </v>
          </cell>
          <cell r="D2913" t="str">
            <v>Naden Amgad</v>
          </cell>
        </row>
        <row r="2914">
          <cell r="A2914" t="str">
            <v>مخبز سنيور</v>
          </cell>
          <cell r="B2914" t="str">
            <v>Horeca Smart</v>
          </cell>
          <cell r="C2914" t="str">
            <v xml:space="preserve">عملاء كاش </v>
          </cell>
          <cell r="D2914" t="str">
            <v>Lames Magdy</v>
          </cell>
        </row>
        <row r="2915">
          <cell r="A2915" t="str">
            <v>مخبز سيلزون</v>
          </cell>
          <cell r="B2915" t="str">
            <v>Horeca Smart</v>
          </cell>
          <cell r="C2915" t="str">
            <v xml:space="preserve">عملاء كاش </v>
          </cell>
          <cell r="D2915" t="str">
            <v>Lames Magdy</v>
          </cell>
        </row>
        <row r="2916">
          <cell r="A2916" t="str">
            <v>مخبز شهد</v>
          </cell>
          <cell r="B2916" t="str">
            <v>Horeca Smart</v>
          </cell>
          <cell r="C2916" t="str">
            <v xml:space="preserve">عملاء كاش </v>
          </cell>
          <cell r="D2916" t="str">
            <v>Reham Maher</v>
          </cell>
        </row>
        <row r="2917">
          <cell r="A2917" t="str">
            <v>مخبز طيبه</v>
          </cell>
          <cell r="B2917" t="str">
            <v>Horeca Smart</v>
          </cell>
          <cell r="C2917" t="str">
            <v xml:space="preserve">عملاء كاش </v>
          </cell>
          <cell r="D2917" t="str">
            <v>Naden Amgad</v>
          </cell>
        </row>
        <row r="2918">
          <cell r="A2918" t="str">
            <v>مخبز طيبه - العجوزة</v>
          </cell>
          <cell r="B2918" t="str">
            <v>Horeca Smart</v>
          </cell>
          <cell r="C2918" t="str">
            <v xml:space="preserve">عملاء كاش </v>
          </cell>
          <cell r="D2918" t="str">
            <v>Naden Amgad</v>
          </cell>
        </row>
        <row r="2919">
          <cell r="A2919" t="str">
            <v>مخبز طيبه -مدينة نصر</v>
          </cell>
          <cell r="B2919" t="str">
            <v>Horeca Smart</v>
          </cell>
          <cell r="C2919" t="str">
            <v xml:space="preserve">عملاء كاش </v>
          </cell>
          <cell r="D2919" t="str">
            <v>Reham Maher</v>
          </cell>
        </row>
        <row r="2920">
          <cell r="A2920" t="str">
            <v>مخبز عادل</v>
          </cell>
          <cell r="B2920" t="str">
            <v>Horeca Smart</v>
          </cell>
          <cell r="C2920" t="str">
            <v xml:space="preserve">عملاء كاش </v>
          </cell>
          <cell r="D2920" t="str">
            <v>Donia Khaled</v>
          </cell>
        </row>
        <row r="2921">
          <cell r="A2921" t="str">
            <v>مخبز عرفه ماركت</v>
          </cell>
          <cell r="B2921" t="str">
            <v>MAS</v>
          </cell>
          <cell r="C2921" t="str">
            <v xml:space="preserve">عملاء كاش </v>
          </cell>
          <cell r="D2921" t="str">
            <v>Donia Khaled</v>
          </cell>
        </row>
        <row r="2922">
          <cell r="A2922" t="str">
            <v>مخبز كاندي, مخبز كاندي, الجامعة الأمريكية</v>
          </cell>
          <cell r="B2922" t="str">
            <v>Horeca Smart</v>
          </cell>
          <cell r="D2922" t="str">
            <v>Mona Mohamed</v>
          </cell>
        </row>
        <row r="2923">
          <cell r="A2923" t="str">
            <v>مخبز كاندي, مخبز كاندي, المخزن</v>
          </cell>
          <cell r="B2923" t="str">
            <v>Horeca Smart</v>
          </cell>
          <cell r="D2923" t="str">
            <v>Mona Mohamed</v>
          </cell>
        </row>
        <row r="2924">
          <cell r="A2924" t="str">
            <v>مخبز كاندي, مخبز كاندي, دار مصر</v>
          </cell>
          <cell r="B2924" t="str">
            <v>Horeca Smart</v>
          </cell>
          <cell r="D2924" t="str">
            <v>Mona Mohamed</v>
          </cell>
        </row>
        <row r="2925">
          <cell r="A2925" t="str">
            <v>مخبز كريستال - الرحاب</v>
          </cell>
          <cell r="B2925" t="str">
            <v>Horeca Smart</v>
          </cell>
          <cell r="C2925" t="str">
            <v xml:space="preserve">عملاء كاش </v>
          </cell>
          <cell r="D2925" t="str">
            <v>Donia Khaled</v>
          </cell>
        </row>
        <row r="2926">
          <cell r="A2926" t="str">
            <v>مخبز كريستال - السلام</v>
          </cell>
          <cell r="B2926" t="str">
            <v>Horeca Smart</v>
          </cell>
          <cell r="C2926" t="str">
            <v xml:space="preserve">عملاء كاش </v>
          </cell>
          <cell r="D2926" t="str">
            <v>Donia Khaled</v>
          </cell>
        </row>
        <row r="2927">
          <cell r="A2927" t="str">
            <v>مخبز كريستال - مدينة نصر</v>
          </cell>
          <cell r="B2927" t="str">
            <v>Horeca Smart</v>
          </cell>
          <cell r="C2927" t="str">
            <v xml:space="preserve">عملاء كاش </v>
          </cell>
          <cell r="D2927" t="str">
            <v>Reham Maher</v>
          </cell>
        </row>
        <row r="2928">
          <cell r="A2928" t="str">
            <v>مخبز لاجولي</v>
          </cell>
          <cell r="B2928" t="str">
            <v>Horeca Smart</v>
          </cell>
          <cell r="C2928" t="str">
            <v xml:space="preserve">عملاء كاش </v>
          </cell>
          <cell r="D2928" t="str">
            <v>Donia Khaled</v>
          </cell>
        </row>
        <row r="2929">
          <cell r="A2929" t="str">
            <v>مخبز مكة -فيصل</v>
          </cell>
          <cell r="B2929" t="str">
            <v>Horeca Smart</v>
          </cell>
          <cell r="C2929" t="str">
            <v xml:space="preserve">عملاء كاش </v>
          </cell>
          <cell r="D2929" t="str">
            <v>Naden Amgad</v>
          </cell>
        </row>
        <row r="2930">
          <cell r="A2930" t="str">
            <v>مخبز مكة 2-الزيتون</v>
          </cell>
          <cell r="B2930" t="str">
            <v>Horeca Smart</v>
          </cell>
          <cell r="C2930" t="str">
            <v xml:space="preserve">عملاء كاش </v>
          </cell>
          <cell r="D2930" t="str">
            <v>Donia Khaled</v>
          </cell>
        </row>
        <row r="2931">
          <cell r="A2931" t="str">
            <v>مخبز نجمة اغا خان</v>
          </cell>
          <cell r="B2931" t="str">
            <v>Horeca Smart</v>
          </cell>
          <cell r="C2931" t="str">
            <v xml:space="preserve">عملاء كاش </v>
          </cell>
          <cell r="D2931" t="str">
            <v>Donia Khaled</v>
          </cell>
        </row>
        <row r="2932">
          <cell r="A2932" t="str">
            <v>مخبز نجوم كريستال</v>
          </cell>
          <cell r="B2932" t="str">
            <v>Horeca Smart</v>
          </cell>
          <cell r="C2932" t="str">
            <v xml:space="preserve">عملاء كاش </v>
          </cell>
          <cell r="D2932" t="str">
            <v>Donia Khaled</v>
          </cell>
        </row>
        <row r="2933">
          <cell r="A2933" t="str">
            <v>مخبز نور الاسلام</v>
          </cell>
          <cell r="B2933" t="str">
            <v>Horeca Smart</v>
          </cell>
          <cell r="C2933" t="str">
            <v xml:space="preserve">عملاء كاش </v>
          </cell>
          <cell r="D2933" t="str">
            <v>Naden Amgad</v>
          </cell>
        </row>
        <row r="2934">
          <cell r="A2934" t="str">
            <v>مخبز و حلواني الاحمدي</v>
          </cell>
          <cell r="B2934" t="str">
            <v>Horeca Smart</v>
          </cell>
          <cell r="C2934" t="str">
            <v xml:space="preserve">عملاء كاش </v>
          </cell>
          <cell r="D2934" t="str">
            <v>Naden Amgad</v>
          </cell>
        </row>
        <row r="2935">
          <cell r="A2935" t="str">
            <v>مخبز و حلواني الشمس</v>
          </cell>
          <cell r="B2935" t="str">
            <v>Horeca Smart</v>
          </cell>
          <cell r="C2935" t="str">
            <v xml:space="preserve">عملاء كاش </v>
          </cell>
          <cell r="D2935" t="str">
            <v>Lames Magdy</v>
          </cell>
        </row>
        <row r="2936">
          <cell r="A2936" t="str">
            <v>مخبز وحلواني براون</v>
          </cell>
          <cell r="B2936" t="str">
            <v>Horeca Smart</v>
          </cell>
          <cell r="C2936" t="str">
            <v xml:space="preserve">عملاء كاش </v>
          </cell>
          <cell r="D2936" t="str">
            <v>Naden Amgad</v>
          </cell>
        </row>
        <row r="2937">
          <cell r="A2937" t="str">
            <v>مخبز وحلواني براون, مخبز وحلواني براون, Brown Bakery _ الشيخ زايد</v>
          </cell>
          <cell r="B2937" t="str">
            <v>Horeca Smart</v>
          </cell>
          <cell r="C2937" t="str">
            <v xml:space="preserve">عملاء كاش </v>
          </cell>
          <cell r="D2937" t="str">
            <v>Naden Amgad</v>
          </cell>
        </row>
        <row r="2938">
          <cell r="A2938" t="str">
            <v>مخبز وحلواني براون, مخبز وحلواني براون, العمرانية</v>
          </cell>
          <cell r="B2938" t="str">
            <v>Horeca Smart</v>
          </cell>
          <cell r="C2938" t="str">
            <v xml:space="preserve">عملاء كاش </v>
          </cell>
          <cell r="D2938" t="str">
            <v>Naden Amgad</v>
          </cell>
        </row>
        <row r="2939">
          <cell r="A2939" t="str">
            <v>مخبز وحلواني براون, مخبز وحلواني براون, مخبز سنيور</v>
          </cell>
          <cell r="B2939" t="str">
            <v>Horeca Smart</v>
          </cell>
          <cell r="C2939" t="str">
            <v xml:space="preserve">عملاء كاش </v>
          </cell>
          <cell r="D2939" t="str">
            <v>Lames Magdy</v>
          </cell>
        </row>
        <row r="2940">
          <cell r="A2940" t="str">
            <v>مخبز ياسر</v>
          </cell>
          <cell r="B2940" t="str">
            <v>Horeca Smart</v>
          </cell>
          <cell r="C2940" t="str">
            <v xml:space="preserve">عملاء كاش </v>
          </cell>
          <cell r="D2940" t="str">
            <v>Naden Amgad</v>
          </cell>
        </row>
        <row r="2941">
          <cell r="A2941" t="str">
            <v>مخبوزات JARZ</v>
          </cell>
          <cell r="B2941" t="str">
            <v>Horeca Smart</v>
          </cell>
          <cell r="C2941" t="str">
            <v xml:space="preserve">عملاء كاش </v>
          </cell>
          <cell r="D2941" t="str">
            <v>Naden Amgad</v>
          </cell>
        </row>
        <row r="2942">
          <cell r="A2942" t="str">
            <v>مخبوزات ONAT - الرحاب</v>
          </cell>
          <cell r="B2942" t="str">
            <v>Horeca Smart</v>
          </cell>
          <cell r="C2942" t="str">
            <v xml:space="preserve">عملاء كاش </v>
          </cell>
          <cell r="D2942" t="str">
            <v>Donia Khaled</v>
          </cell>
        </row>
        <row r="2943">
          <cell r="A2943" t="str">
            <v>مخبوزات ONAT - المعادي</v>
          </cell>
          <cell r="B2943" t="str">
            <v>Horeca Smart</v>
          </cell>
          <cell r="C2943" t="str">
            <v xml:space="preserve">عملاء كاش </v>
          </cell>
          <cell r="D2943" t="str">
            <v>Donia Khaled</v>
          </cell>
        </row>
        <row r="2944">
          <cell r="A2944" t="str">
            <v>مخبوزات اخر ساعة</v>
          </cell>
          <cell r="B2944" t="str">
            <v>Horeca Smart</v>
          </cell>
          <cell r="C2944" t="str">
            <v xml:space="preserve">عملاء كاش </v>
          </cell>
          <cell r="D2944" t="str">
            <v>Naden Amgad</v>
          </cell>
        </row>
        <row r="2945">
          <cell r="A2945" t="str">
            <v>مخبوزات الاقصى</v>
          </cell>
          <cell r="B2945" t="str">
            <v>Horeca Smart</v>
          </cell>
          <cell r="C2945" t="str">
            <v xml:space="preserve">عملاء كاش </v>
          </cell>
          <cell r="D2945" t="str">
            <v>Naden Amgad</v>
          </cell>
        </row>
        <row r="2946">
          <cell r="A2946" t="str">
            <v>مخبوزات الاندلس</v>
          </cell>
          <cell r="B2946" t="str">
            <v>Horeca Smart</v>
          </cell>
          <cell r="C2946" t="str">
            <v xml:space="preserve">عملاء كاش </v>
          </cell>
          <cell r="D2946" t="str">
            <v>Donia Khaled</v>
          </cell>
        </row>
        <row r="2947">
          <cell r="A2947" t="str">
            <v>مخبوزات الاندلس - التجمع</v>
          </cell>
          <cell r="B2947" t="str">
            <v>Horeca Smart</v>
          </cell>
          <cell r="C2947" t="str">
            <v xml:space="preserve">عملاء كاش </v>
          </cell>
          <cell r="D2947" t="str">
            <v>Donia Khaled</v>
          </cell>
        </row>
        <row r="2948">
          <cell r="A2948" t="str">
            <v>مخبوزات البركة - الهرم</v>
          </cell>
          <cell r="B2948" t="str">
            <v>Horeca Smart</v>
          </cell>
          <cell r="C2948" t="str">
            <v xml:space="preserve">عملاء كاش </v>
          </cell>
          <cell r="D2948" t="str">
            <v>Naden Amgad</v>
          </cell>
        </row>
        <row r="2949">
          <cell r="A2949" t="str">
            <v>مخبوزات التحرير</v>
          </cell>
          <cell r="B2949" t="str">
            <v>Horeca Smart</v>
          </cell>
          <cell r="C2949" t="str">
            <v xml:space="preserve">عملاء كاش </v>
          </cell>
          <cell r="D2949" t="str">
            <v>Naden Amgad</v>
          </cell>
        </row>
        <row r="2950">
          <cell r="A2950" t="str">
            <v>مخبوزات السعادة</v>
          </cell>
          <cell r="B2950" t="str">
            <v>Horeca Smart</v>
          </cell>
          <cell r="C2950" t="str">
            <v xml:space="preserve">عملاء كاش </v>
          </cell>
          <cell r="D2950" t="str">
            <v>Donia Khaled</v>
          </cell>
        </row>
        <row r="2951">
          <cell r="A2951" t="str">
            <v>مخبوزات السفير</v>
          </cell>
          <cell r="B2951" t="str">
            <v>Horeca Smart</v>
          </cell>
          <cell r="C2951" t="str">
            <v xml:space="preserve">عملاء كاش </v>
          </cell>
          <cell r="D2951" t="str">
            <v>Naden Amgad</v>
          </cell>
        </row>
        <row r="2952">
          <cell r="A2952" t="str">
            <v>مخبوزات الصدق</v>
          </cell>
          <cell r="B2952" t="str">
            <v>Horeca Smart</v>
          </cell>
          <cell r="C2952" t="str">
            <v xml:space="preserve">عملاء كاش </v>
          </cell>
          <cell r="D2952" t="str">
            <v>Naden Amgad</v>
          </cell>
        </row>
        <row r="2953">
          <cell r="A2953" t="str">
            <v>مخبوزات الصفا</v>
          </cell>
          <cell r="B2953" t="str">
            <v>Horeca Smart</v>
          </cell>
          <cell r="C2953" t="str">
            <v xml:space="preserve">عملاء كاش </v>
          </cell>
          <cell r="D2953" t="str">
            <v>Donia Khaled</v>
          </cell>
        </row>
        <row r="2954">
          <cell r="A2954" t="str">
            <v>مخبوزات الصفا_ الرحاب</v>
          </cell>
          <cell r="B2954" t="str">
            <v>Horeca Smart</v>
          </cell>
          <cell r="C2954" t="str">
            <v xml:space="preserve">عملاء كاش </v>
          </cell>
          <cell r="D2954" t="str">
            <v>Donia Khaled</v>
          </cell>
        </row>
        <row r="2955">
          <cell r="A2955" t="str">
            <v>مخبوزات العبيط</v>
          </cell>
          <cell r="B2955" t="str">
            <v>Horeca Smart</v>
          </cell>
          <cell r="C2955" t="str">
            <v xml:space="preserve">عملاء كاش </v>
          </cell>
          <cell r="D2955" t="str">
            <v>Donia Khaled</v>
          </cell>
        </row>
        <row r="2956">
          <cell r="A2956" t="str">
            <v>مخبوزات الكريستال</v>
          </cell>
          <cell r="B2956" t="str">
            <v>Horeca Smart</v>
          </cell>
          <cell r="C2956" t="str">
            <v xml:space="preserve">عملاء كاش </v>
          </cell>
          <cell r="D2956" t="str">
            <v>Donia Khaled</v>
          </cell>
        </row>
        <row r="2957">
          <cell r="A2957" t="str">
            <v>مخبوزات المصطفي</v>
          </cell>
          <cell r="B2957" t="str">
            <v>Horeca Smart</v>
          </cell>
          <cell r="C2957" t="str">
            <v xml:space="preserve">عملاء كاش </v>
          </cell>
          <cell r="D2957" t="str">
            <v>Donia Khaled</v>
          </cell>
        </row>
        <row r="2958">
          <cell r="A2958" t="str">
            <v>مخبوزات بريدز</v>
          </cell>
          <cell r="B2958" t="str">
            <v>Horeca Smart</v>
          </cell>
          <cell r="C2958" t="str">
            <v xml:space="preserve">عملاء كاش </v>
          </cell>
          <cell r="D2958" t="str">
            <v>Donia Khaled</v>
          </cell>
        </row>
        <row r="2959">
          <cell r="A2959" t="str">
            <v>مخبوزات حماد</v>
          </cell>
          <cell r="B2959" t="str">
            <v>Horeca Smart</v>
          </cell>
          <cell r="C2959" t="str">
            <v xml:space="preserve">عملاء كاش </v>
          </cell>
          <cell r="D2959" t="str">
            <v>Reham Maher</v>
          </cell>
        </row>
        <row r="2960">
          <cell r="A2960" t="str">
            <v>مخبوزات دهب</v>
          </cell>
          <cell r="B2960" t="str">
            <v>Horeca Smart</v>
          </cell>
          <cell r="C2960" t="str">
            <v xml:space="preserve">عملاء كاش </v>
          </cell>
          <cell r="D2960" t="str">
            <v>Reham Maher</v>
          </cell>
        </row>
        <row r="2961">
          <cell r="A2961" t="str">
            <v>مخبوزات روما الايطالية</v>
          </cell>
          <cell r="B2961" t="str">
            <v>Horeca Smart</v>
          </cell>
          <cell r="C2961" t="str">
            <v xml:space="preserve">عملاء كاش </v>
          </cell>
          <cell r="D2961" t="str">
            <v>Reham Maher</v>
          </cell>
        </row>
        <row r="2962">
          <cell r="A2962" t="str">
            <v>مخبوزات روما الايطالية -مصطفى النحاس</v>
          </cell>
          <cell r="B2962" t="str">
            <v>Horeca Smart</v>
          </cell>
          <cell r="C2962" t="str">
            <v xml:space="preserve">عملاء كاش </v>
          </cell>
          <cell r="D2962" t="str">
            <v>Donia Khaled</v>
          </cell>
        </row>
        <row r="2963">
          <cell r="A2963" t="str">
            <v>مخبوزات عز - حسين هيكل</v>
          </cell>
          <cell r="B2963" t="str">
            <v>Horeca Smart</v>
          </cell>
          <cell r="C2963" t="str">
            <v xml:space="preserve">عملاء كاش </v>
          </cell>
          <cell r="D2963" t="str">
            <v>Reham Maher</v>
          </cell>
        </row>
        <row r="2964">
          <cell r="A2964" t="str">
            <v>مخبوزات قصر الدروبى</v>
          </cell>
          <cell r="B2964" t="str">
            <v>Horeca Smart</v>
          </cell>
          <cell r="C2964" t="str">
            <v xml:space="preserve">عملاء كاش </v>
          </cell>
          <cell r="D2964" t="str">
            <v>Donia Khaled</v>
          </cell>
        </row>
        <row r="2965">
          <cell r="A2965" t="str">
            <v>مخبوزات و حلواني ابو جهاد - مصر الجديدة</v>
          </cell>
          <cell r="B2965" t="str">
            <v>Horeca Smart</v>
          </cell>
          <cell r="C2965" t="str">
            <v xml:space="preserve">عملاء كاش </v>
          </cell>
          <cell r="D2965" t="str">
            <v>Donia Khaled</v>
          </cell>
        </row>
        <row r="2966">
          <cell r="A2966" t="str">
            <v>مخبوزات وحلواني السعيد</v>
          </cell>
          <cell r="B2966" t="str">
            <v>Horeca Smart</v>
          </cell>
          <cell r="C2966" t="str">
            <v xml:space="preserve">عملاء كاش </v>
          </cell>
          <cell r="D2966" t="str">
            <v>Donia Khaled</v>
          </cell>
        </row>
        <row r="2967">
          <cell r="A2967" t="str">
            <v>مخزن السكه الحديد</v>
          </cell>
          <cell r="B2967" t="str">
            <v>Horeca Smart</v>
          </cell>
          <cell r="C2967" t="str">
            <v xml:space="preserve">عملاء كاش </v>
          </cell>
          <cell r="D2967" t="str">
            <v>Donia Khaled</v>
          </cell>
        </row>
        <row r="2968">
          <cell r="A2968" t="str">
            <v>مخزن مطاعم بيتر سويت</v>
          </cell>
          <cell r="B2968" t="str">
            <v>Horeca Smart</v>
          </cell>
          <cell r="C2968" t="str">
            <v xml:space="preserve">عملاء كاش </v>
          </cell>
          <cell r="D2968" t="str">
            <v>Rasha Hassan</v>
          </cell>
        </row>
        <row r="2969">
          <cell r="A2969" t="str">
            <v>مخيتو</v>
          </cell>
          <cell r="B2969" t="str">
            <v>Horeca Smart</v>
          </cell>
          <cell r="C2969" t="str">
            <v xml:space="preserve">عملاء كاش </v>
          </cell>
          <cell r="D2969" t="str">
            <v>Donia Khaled</v>
          </cell>
        </row>
        <row r="2970">
          <cell r="A2970" t="str">
            <v>مدرسة ريماس</v>
          </cell>
          <cell r="B2970" t="str">
            <v>Horeca Smart</v>
          </cell>
          <cell r="C2970" t="str">
            <v xml:space="preserve">عملاء كاش </v>
          </cell>
          <cell r="D2970" t="str">
            <v>Lames Magdy</v>
          </cell>
        </row>
        <row r="2971">
          <cell r="A2971" t="str">
            <v>مذاق</v>
          </cell>
          <cell r="B2971" t="str">
            <v>Horeca Smart</v>
          </cell>
          <cell r="C2971" t="str">
            <v xml:space="preserve">عملاء كاش </v>
          </cell>
          <cell r="D2971" t="str">
            <v>Donia Khaled</v>
          </cell>
        </row>
        <row r="2972">
          <cell r="A2972" t="str">
            <v>مراسى كافيه</v>
          </cell>
          <cell r="B2972" t="str">
            <v>Horeca Smart</v>
          </cell>
          <cell r="C2972" t="str">
            <v xml:space="preserve">عملاء كاش </v>
          </cell>
          <cell r="D2972" t="str">
            <v>Donia Khaled</v>
          </cell>
        </row>
        <row r="2973">
          <cell r="A2973" t="str">
            <v>مستر افوكادو - الالف مسكن</v>
          </cell>
          <cell r="B2973" t="str">
            <v>Horeca Smart</v>
          </cell>
          <cell r="C2973" t="str">
            <v xml:space="preserve">عملاء كاش </v>
          </cell>
          <cell r="D2973" t="str">
            <v>Donia Khaled</v>
          </cell>
        </row>
        <row r="2974">
          <cell r="A2974" t="str">
            <v>مستر افوكادو - حلمية الزيتون</v>
          </cell>
          <cell r="B2974" t="str">
            <v>Horeca Smart</v>
          </cell>
          <cell r="C2974" t="str">
            <v xml:space="preserve">عملاء كاش </v>
          </cell>
          <cell r="D2974" t="str">
            <v>Donia Khaled</v>
          </cell>
        </row>
        <row r="2975">
          <cell r="A2975" t="str">
            <v>مستر اند مس</v>
          </cell>
          <cell r="B2975" t="str">
            <v>Horeca Smart</v>
          </cell>
          <cell r="C2975" t="str">
            <v xml:space="preserve">عملاء كاش </v>
          </cell>
          <cell r="D2975" t="str">
            <v>Donia Khaled</v>
          </cell>
        </row>
        <row r="2976">
          <cell r="A2976" t="str">
            <v>مستر كاستلو</v>
          </cell>
          <cell r="B2976" t="str">
            <v>Horeca Smart</v>
          </cell>
          <cell r="C2976" t="str">
            <v xml:space="preserve">عملاء كاش </v>
          </cell>
          <cell r="D2976" t="str">
            <v>Donia Khaled</v>
          </cell>
        </row>
        <row r="2977">
          <cell r="A2977" t="str">
            <v>مستر موسي</v>
          </cell>
          <cell r="B2977" t="str">
            <v>Horeca Smart</v>
          </cell>
          <cell r="C2977" t="str">
            <v xml:space="preserve">عملاء كاش </v>
          </cell>
          <cell r="D2977" t="str">
            <v>Donia Khaled</v>
          </cell>
        </row>
        <row r="2978">
          <cell r="A2978" t="str">
            <v>مستشفي روفيدا</v>
          </cell>
          <cell r="B2978" t="str">
            <v>Horeca Smart</v>
          </cell>
          <cell r="C2978" t="str">
            <v xml:space="preserve">عملاء كاش </v>
          </cell>
          <cell r="D2978" t="str">
            <v>Naden Amgad</v>
          </cell>
        </row>
        <row r="2979">
          <cell r="A2979" t="str">
            <v>مستشفي مصر الدولي</v>
          </cell>
          <cell r="B2979" t="str">
            <v>Horeca Smart</v>
          </cell>
          <cell r="C2979" t="str">
            <v xml:space="preserve">عملاء كاش </v>
          </cell>
          <cell r="D2979" t="str">
            <v>Reham Maher</v>
          </cell>
        </row>
        <row r="2980">
          <cell r="A2980" t="str">
            <v>مستكه</v>
          </cell>
          <cell r="B2980" t="str">
            <v>Horeca Smart</v>
          </cell>
          <cell r="C2980" t="str">
            <v xml:space="preserve">عملاء كاش </v>
          </cell>
          <cell r="D2980" t="str">
            <v>Lames Magdy</v>
          </cell>
        </row>
        <row r="2981">
          <cell r="A2981" t="str">
            <v>مسلمى النيل</v>
          </cell>
          <cell r="B2981" t="str">
            <v>Horeca Smart</v>
          </cell>
          <cell r="C2981" t="str">
            <v xml:space="preserve">عملاء كاش </v>
          </cell>
          <cell r="D2981" t="str">
            <v>Reham Maher</v>
          </cell>
        </row>
        <row r="2982">
          <cell r="A2982" t="str">
            <v>مسمط السيدة زينب</v>
          </cell>
          <cell r="B2982" t="str">
            <v>Horeca Smart</v>
          </cell>
          <cell r="C2982" t="str">
            <v xml:space="preserve">عملاء كاش </v>
          </cell>
          <cell r="D2982" t="str">
            <v>Naden Amgad</v>
          </cell>
        </row>
        <row r="2983">
          <cell r="A2983" t="str">
            <v>مشرق لتنمية الاعمال</v>
          </cell>
          <cell r="C2983" t="str">
            <v>موردين كاش</v>
          </cell>
          <cell r="D2983" t="str">
            <v>Amgad Ahmed</v>
          </cell>
        </row>
        <row r="2984">
          <cell r="A2984" t="str">
            <v>مشويات ابو خالد</v>
          </cell>
          <cell r="B2984" t="str">
            <v>Horeca Smart</v>
          </cell>
          <cell r="C2984" t="str">
            <v xml:space="preserve">عملاء كاش </v>
          </cell>
          <cell r="D2984" t="str">
            <v>Naden Amgad</v>
          </cell>
        </row>
        <row r="2985">
          <cell r="A2985" t="str">
            <v>مشويات ابو قوره</v>
          </cell>
          <cell r="B2985" t="str">
            <v>Horeca Smart</v>
          </cell>
          <cell r="C2985" t="str">
            <v xml:space="preserve">عملاء كاش </v>
          </cell>
          <cell r="D2985" t="str">
            <v>Naden Amgad</v>
          </cell>
        </row>
        <row r="2986">
          <cell r="A2986" t="str">
            <v>مشويات البحراوي</v>
          </cell>
          <cell r="B2986" t="str">
            <v>Horeca Smart</v>
          </cell>
          <cell r="C2986" t="str">
            <v xml:space="preserve">عملاء كاش </v>
          </cell>
          <cell r="D2986" t="str">
            <v>Donia Khaled</v>
          </cell>
        </row>
        <row r="2987">
          <cell r="A2987" t="str">
            <v>مشويات الحرية</v>
          </cell>
          <cell r="B2987" t="str">
            <v>Horeca Smart</v>
          </cell>
          <cell r="C2987" t="str">
            <v xml:space="preserve">عملاء كاش </v>
          </cell>
          <cell r="D2987" t="str">
            <v>Lames Magdy</v>
          </cell>
        </row>
        <row r="2988">
          <cell r="A2988" t="str">
            <v>مشويات الرايق</v>
          </cell>
          <cell r="B2988" t="str">
            <v>Horeca Smart</v>
          </cell>
          <cell r="C2988" t="str">
            <v xml:space="preserve">عملاء كاش </v>
          </cell>
          <cell r="D2988" t="str">
            <v>Donia Khaled</v>
          </cell>
        </row>
        <row r="2989">
          <cell r="A2989" t="str">
            <v>مشويات العالمية</v>
          </cell>
          <cell r="B2989" t="str">
            <v>Horeca Smart</v>
          </cell>
          <cell r="C2989" t="str">
            <v xml:space="preserve">عملاء كاش </v>
          </cell>
          <cell r="D2989" t="str">
            <v>Reham Maher</v>
          </cell>
        </row>
        <row r="2990">
          <cell r="A2990" t="str">
            <v>مشويات العباسى</v>
          </cell>
          <cell r="B2990" t="str">
            <v>Horeca Smart</v>
          </cell>
          <cell r="C2990" t="str">
            <v xml:space="preserve">عملاء كاش </v>
          </cell>
          <cell r="D2990" t="str">
            <v>Donia Khaled</v>
          </cell>
        </row>
        <row r="2991">
          <cell r="A2991" t="str">
            <v>مشويات الهادي</v>
          </cell>
          <cell r="B2991" t="str">
            <v>Horeca Smart</v>
          </cell>
          <cell r="C2991" t="str">
            <v xml:space="preserve">عملاء كاش </v>
          </cell>
          <cell r="D2991" t="str">
            <v>Reham Maher</v>
          </cell>
        </row>
        <row r="2992">
          <cell r="A2992" t="str">
            <v>مشويات جيمي</v>
          </cell>
          <cell r="B2992" t="str">
            <v>Horeca Smart</v>
          </cell>
          <cell r="C2992" t="str">
            <v xml:space="preserve">عملاء كاش </v>
          </cell>
          <cell r="D2992" t="str">
            <v>Naden Amgad</v>
          </cell>
        </row>
        <row r="2993">
          <cell r="A2993" t="str">
            <v>مصر لنشر المعلومات</v>
          </cell>
          <cell r="B2993" t="str">
            <v>Horeca Smart</v>
          </cell>
          <cell r="C2993" t="str">
            <v xml:space="preserve">عملاء كاش </v>
          </cell>
          <cell r="D2993" t="str">
            <v>Donia Khaled</v>
          </cell>
        </row>
        <row r="2994">
          <cell r="A2994" t="str">
            <v>مصنع 188</v>
          </cell>
          <cell r="B2994" t="str">
            <v>Horeca Smart</v>
          </cell>
          <cell r="C2994" t="str">
            <v xml:space="preserve">عملاء كاش </v>
          </cell>
          <cell r="D2994" t="str">
            <v>Donia Khaled</v>
          </cell>
        </row>
        <row r="2995">
          <cell r="A2995" t="str">
            <v>مصنع mafg اوسكار</v>
          </cell>
          <cell r="B2995" t="str">
            <v>Horeca Smart</v>
          </cell>
          <cell r="C2995" t="str">
            <v xml:space="preserve">عملاء كاش </v>
          </cell>
          <cell r="D2995" t="str">
            <v>Donia Khaled</v>
          </cell>
        </row>
        <row r="2996">
          <cell r="A2996" t="str">
            <v>مصنع البركات</v>
          </cell>
          <cell r="B2996" t="str">
            <v>Horeca Smart</v>
          </cell>
          <cell r="C2996" t="str">
            <v xml:space="preserve">عملاء كاش </v>
          </cell>
          <cell r="D2996" t="str">
            <v>Donia Khaled</v>
          </cell>
        </row>
        <row r="2997">
          <cell r="A2997" t="str">
            <v>مصنع الخباز</v>
          </cell>
          <cell r="B2997" t="str">
            <v>Horeca Smart</v>
          </cell>
          <cell r="C2997" t="str">
            <v xml:space="preserve">عملاء كاش </v>
          </cell>
          <cell r="D2997" t="str">
            <v>Donia Khaled</v>
          </cell>
        </row>
        <row r="2998">
          <cell r="A2998" t="str">
            <v>مصنع حلويات مؤمن</v>
          </cell>
          <cell r="B2998" t="str">
            <v>Horeca Smart</v>
          </cell>
          <cell r="C2998" t="str">
            <v xml:space="preserve">عملاء كاش </v>
          </cell>
          <cell r="D2998" t="str">
            <v>Naden Amgad</v>
          </cell>
        </row>
        <row r="2999">
          <cell r="A2999" t="str">
            <v>مصنع دايت</v>
          </cell>
          <cell r="B2999" t="str">
            <v>Horeca Smart</v>
          </cell>
          <cell r="C2999" t="str">
            <v xml:space="preserve">عملاء كاش </v>
          </cell>
          <cell r="D2999" t="str">
            <v>Donia Khaled</v>
          </cell>
        </row>
        <row r="3000">
          <cell r="A3000" t="str">
            <v>مصنع كلود كيتشن</v>
          </cell>
          <cell r="B3000" t="str">
            <v>Horeca Smart</v>
          </cell>
          <cell r="C3000" t="str">
            <v xml:space="preserve">عملاء كاش </v>
          </cell>
          <cell r="D3000" t="str">
            <v>Donia Khaled</v>
          </cell>
        </row>
        <row r="3001">
          <cell r="A3001" t="str">
            <v>مطاعم لو كالوريز</v>
          </cell>
          <cell r="B3001" t="str">
            <v>Horeca Smart</v>
          </cell>
          <cell r="C3001" t="str">
            <v xml:space="preserve">عملاء كاش </v>
          </cell>
          <cell r="D3001" t="str">
            <v>Donia Khaled</v>
          </cell>
        </row>
        <row r="3002">
          <cell r="A3002" t="str">
            <v>مطاعم موكا</v>
          </cell>
          <cell r="B3002" t="str">
            <v>Horeca Smart</v>
          </cell>
          <cell r="C3002" t="str">
            <v xml:space="preserve">عملاء كاش </v>
          </cell>
          <cell r="D3002" t="str">
            <v>Reham Maher</v>
          </cell>
        </row>
        <row r="3003">
          <cell r="A3003" t="str">
            <v>مطبخ الشهد</v>
          </cell>
          <cell r="B3003" t="str">
            <v>Horeca Smart</v>
          </cell>
          <cell r="C3003" t="str">
            <v xml:space="preserve">عملاء كاش </v>
          </cell>
          <cell r="D3003" t="str">
            <v>Donia Khaled</v>
          </cell>
        </row>
        <row r="3004">
          <cell r="A3004" t="str">
            <v>مطبخ ام كيمو</v>
          </cell>
          <cell r="B3004" t="str">
            <v>Horeca Smart</v>
          </cell>
          <cell r="C3004" t="str">
            <v xml:space="preserve">عملاء كاش </v>
          </cell>
          <cell r="D3004" t="str">
            <v>Naden Amgad</v>
          </cell>
        </row>
        <row r="3005">
          <cell r="A3005" t="str">
            <v>مطبخ شارمينار للمؤكولات الهندية</v>
          </cell>
          <cell r="B3005" t="str">
            <v>Horeca Smart</v>
          </cell>
          <cell r="C3005" t="str">
            <v xml:space="preserve">عملاء كاش </v>
          </cell>
          <cell r="D3005" t="str">
            <v>Donia Khaled</v>
          </cell>
        </row>
        <row r="3006">
          <cell r="A3006" t="str">
            <v>مطبخ ندي</v>
          </cell>
          <cell r="B3006" t="str">
            <v>MAS</v>
          </cell>
          <cell r="C3006" t="str">
            <v xml:space="preserve">عملاء كاش </v>
          </cell>
          <cell r="D3006" t="str">
            <v>Haddil Haron</v>
          </cell>
        </row>
        <row r="3007">
          <cell r="A3007" t="str">
            <v>مطبخ هاله</v>
          </cell>
          <cell r="B3007" t="str">
            <v>Horeca Smart</v>
          </cell>
          <cell r="C3007" t="str">
            <v xml:space="preserve">عملاء كاش </v>
          </cell>
          <cell r="D3007" t="str">
            <v>Reham Maher</v>
          </cell>
        </row>
        <row r="3008">
          <cell r="A3008" t="str">
            <v>مطعم  أجيجا</v>
          </cell>
          <cell r="B3008" t="str">
            <v>Horeca Smart</v>
          </cell>
          <cell r="C3008" t="str">
            <v xml:space="preserve">عملاء كاش </v>
          </cell>
          <cell r="D3008" t="str">
            <v>Donia Khaled</v>
          </cell>
        </row>
        <row r="3009">
          <cell r="A3009" t="str">
            <v>مطعم ATM</v>
          </cell>
          <cell r="B3009" t="str">
            <v>Horeca Smart</v>
          </cell>
          <cell r="C3009" t="str">
            <v xml:space="preserve">عملاء كاش </v>
          </cell>
          <cell r="D3009" t="str">
            <v>Lames Magdy</v>
          </cell>
        </row>
        <row r="3010">
          <cell r="A3010" t="str">
            <v>مطعم Athleats</v>
          </cell>
          <cell r="B3010" t="str">
            <v>Horeca Smart</v>
          </cell>
          <cell r="C3010" t="str">
            <v xml:space="preserve">عملاء كاش </v>
          </cell>
          <cell r="D3010" t="str">
            <v>Donia Khaled</v>
          </cell>
        </row>
        <row r="3011">
          <cell r="A3011" t="str">
            <v>مطعم CINCIN</v>
          </cell>
          <cell r="B3011" t="str">
            <v>Horeca Smart</v>
          </cell>
          <cell r="C3011" t="str">
            <v xml:space="preserve">عملاء كاش </v>
          </cell>
          <cell r="D3011" t="str">
            <v>Naden Amgad</v>
          </cell>
        </row>
        <row r="3012">
          <cell r="A3012" t="str">
            <v>مطعم أبو بكري السوري</v>
          </cell>
          <cell r="B3012" t="str">
            <v>MAS</v>
          </cell>
          <cell r="C3012" t="str">
            <v xml:space="preserve">عملاء كاش </v>
          </cell>
          <cell r="D3012" t="str">
            <v>Reham Maher</v>
          </cell>
        </row>
        <row r="3013">
          <cell r="A3013" t="str">
            <v>مطعم أبو غريب السويسي</v>
          </cell>
          <cell r="B3013" t="str">
            <v>Horeca Smart</v>
          </cell>
          <cell r="C3013" t="str">
            <v xml:space="preserve">عملاء كاش </v>
          </cell>
          <cell r="D3013" t="str">
            <v>Donia Khaled</v>
          </cell>
        </row>
        <row r="3014">
          <cell r="A3014" t="str">
            <v>مطعم أجدادنا</v>
          </cell>
          <cell r="B3014" t="str">
            <v>Horeca Smart</v>
          </cell>
          <cell r="C3014" t="str">
            <v xml:space="preserve">عملاء كاش </v>
          </cell>
          <cell r="D3014" t="str">
            <v>Donia Khaled</v>
          </cell>
        </row>
        <row r="3015">
          <cell r="A3015" t="str">
            <v>مطعم أكل ماما</v>
          </cell>
          <cell r="B3015" t="str">
            <v>Horeca Smart</v>
          </cell>
          <cell r="C3015" t="str">
            <v xml:space="preserve">عملاء كاش </v>
          </cell>
          <cell r="D3015" t="str">
            <v>Naden Amgad</v>
          </cell>
        </row>
        <row r="3016">
          <cell r="A3016" t="str">
            <v>مطعم أنتيكا</v>
          </cell>
          <cell r="B3016" t="str">
            <v>Horeca Smart</v>
          </cell>
          <cell r="C3016" t="str">
            <v xml:space="preserve">عملاء كاش </v>
          </cell>
          <cell r="D3016" t="str">
            <v>Donia Khaled</v>
          </cell>
        </row>
        <row r="3017">
          <cell r="A3017" t="str">
            <v>مطعم أورمة فهمي</v>
          </cell>
          <cell r="B3017" t="str">
            <v>Horeca Smart</v>
          </cell>
          <cell r="C3017" t="str">
            <v xml:space="preserve">عملاء كاش </v>
          </cell>
          <cell r="D3017" t="str">
            <v>Donia Khaled</v>
          </cell>
        </row>
        <row r="3018">
          <cell r="A3018" t="str">
            <v>مطعم ابن غزة</v>
          </cell>
          <cell r="B3018" t="str">
            <v>Horeca Smart</v>
          </cell>
          <cell r="C3018" t="str">
            <v xml:space="preserve">عملاء كاش </v>
          </cell>
          <cell r="D3018" t="str">
            <v>Reham Maher</v>
          </cell>
        </row>
        <row r="3019">
          <cell r="A3019" t="str">
            <v>مطعم ابو بكر السوري, المخزن</v>
          </cell>
          <cell r="C3019" t="str">
            <v>متجمد</v>
          </cell>
          <cell r="D3019" t="str">
            <v>Administrator</v>
          </cell>
        </row>
        <row r="3020">
          <cell r="A3020" t="str">
            <v>مطعم ابو سمرة</v>
          </cell>
          <cell r="B3020" t="str">
            <v>Horeca Smart</v>
          </cell>
          <cell r="C3020" t="str">
            <v xml:space="preserve">عملاء كاش </v>
          </cell>
          <cell r="D3020" t="str">
            <v>Shorouk khaled</v>
          </cell>
        </row>
        <row r="3021">
          <cell r="A3021" t="str">
            <v>مطعم ابو عاشور</v>
          </cell>
          <cell r="B3021" t="str">
            <v>Horeca Smart</v>
          </cell>
          <cell r="C3021" t="str">
            <v xml:space="preserve">عملاء كاش </v>
          </cell>
          <cell r="D3021" t="str">
            <v>Reham Maher</v>
          </cell>
        </row>
        <row r="3022">
          <cell r="A3022" t="str">
            <v>مطعم ارماندو</v>
          </cell>
          <cell r="B3022" t="str">
            <v>Horeca Smart</v>
          </cell>
          <cell r="C3022" t="str">
            <v xml:space="preserve">عملاء كاش </v>
          </cell>
          <cell r="D3022" t="str">
            <v>Reham Maher</v>
          </cell>
        </row>
        <row r="3023">
          <cell r="A3023" t="str">
            <v>مطعم اروم</v>
          </cell>
          <cell r="B3023" t="str">
            <v>Horeca Smart</v>
          </cell>
          <cell r="C3023" t="str">
            <v xml:space="preserve">عملاء كاش </v>
          </cell>
          <cell r="D3023" t="str">
            <v>Donia Khaled</v>
          </cell>
        </row>
        <row r="3024">
          <cell r="A3024" t="str">
            <v>مطعم اسبيرو</v>
          </cell>
          <cell r="B3024" t="str">
            <v>Horeca Smart</v>
          </cell>
          <cell r="C3024" t="str">
            <v xml:space="preserve">عملاء كاش </v>
          </cell>
          <cell r="D3024" t="str">
            <v>Naden Amgad</v>
          </cell>
        </row>
        <row r="3025">
          <cell r="A3025" t="str">
            <v>مطعم اسلاند غريل</v>
          </cell>
          <cell r="B3025" t="str">
            <v>Horeca Smart</v>
          </cell>
          <cell r="C3025" t="str">
            <v xml:space="preserve">عملاء كاش </v>
          </cell>
          <cell r="D3025" t="str">
            <v>Donia Khaled</v>
          </cell>
        </row>
        <row r="3026">
          <cell r="A3026" t="str">
            <v>مطعم اسماك بحرية</v>
          </cell>
          <cell r="B3026" t="str">
            <v>Horeca Smart</v>
          </cell>
          <cell r="C3026" t="str">
            <v xml:space="preserve">عملاء كاش </v>
          </cell>
          <cell r="D3026" t="str">
            <v>Naden Amgad</v>
          </cell>
        </row>
        <row r="3027">
          <cell r="A3027" t="str">
            <v>مطعم اسماك خير البحر</v>
          </cell>
          <cell r="B3027" t="str">
            <v>Horeca Smart</v>
          </cell>
          <cell r="C3027" t="str">
            <v xml:space="preserve">عملاء كاش </v>
          </cell>
          <cell r="D3027" t="str">
            <v>Donia Khaled</v>
          </cell>
        </row>
        <row r="3028">
          <cell r="A3028" t="str">
            <v>مطعم اصله</v>
          </cell>
          <cell r="B3028" t="str">
            <v>Horeca Smart</v>
          </cell>
          <cell r="C3028" t="str">
            <v xml:space="preserve">عملاء كاش </v>
          </cell>
          <cell r="D3028" t="str">
            <v>Donia Khaled</v>
          </cell>
        </row>
        <row r="3029">
          <cell r="A3029" t="str">
            <v>مطعم ال فوود</v>
          </cell>
          <cell r="B3029" t="str">
            <v>Horeca Smart</v>
          </cell>
          <cell r="C3029" t="str">
            <v xml:space="preserve">عملاء كاش </v>
          </cell>
          <cell r="D3029" t="str">
            <v>Reham Maher</v>
          </cell>
        </row>
        <row r="3030">
          <cell r="A3030" t="str">
            <v>مطعم الأكل الكوري في مصر</v>
          </cell>
          <cell r="B3030" t="str">
            <v>Horeca Smart</v>
          </cell>
          <cell r="C3030" t="str">
            <v xml:space="preserve">عملاء كاش </v>
          </cell>
          <cell r="D3030" t="str">
            <v>Naden Amgad</v>
          </cell>
        </row>
        <row r="3031">
          <cell r="A3031" t="str">
            <v>مطعم الباب السوري</v>
          </cell>
          <cell r="B3031" t="str">
            <v>Horeca Smart</v>
          </cell>
          <cell r="C3031" t="str">
            <v xml:space="preserve">عملاء كاش </v>
          </cell>
          <cell r="D3031" t="str">
            <v>Reham Maher</v>
          </cell>
        </row>
        <row r="3032">
          <cell r="A3032" t="str">
            <v>مطعم البارون</v>
          </cell>
          <cell r="B3032" t="str">
            <v>Horeca Smart</v>
          </cell>
          <cell r="C3032" t="str">
            <v xml:space="preserve">عملاء كاش </v>
          </cell>
          <cell r="D3032" t="str">
            <v>Donia Khaled</v>
          </cell>
        </row>
        <row r="3033">
          <cell r="A3033" t="str">
            <v>مطعم البركة -الخانكة</v>
          </cell>
          <cell r="B3033" t="str">
            <v>Horeca Smart</v>
          </cell>
          <cell r="C3033" t="str">
            <v xml:space="preserve">عملاء كاش </v>
          </cell>
          <cell r="D3033" t="str">
            <v>Haddil Haron</v>
          </cell>
        </row>
        <row r="3034">
          <cell r="A3034" t="str">
            <v>مطعم الجمهورية</v>
          </cell>
          <cell r="B3034" t="str">
            <v>Horeca Smart</v>
          </cell>
          <cell r="C3034" t="str">
            <v xml:space="preserve">عملاء كاش </v>
          </cell>
          <cell r="D3034" t="str">
            <v>Donia Khaled</v>
          </cell>
        </row>
        <row r="3035">
          <cell r="A3035" t="str">
            <v>مطعم الحصري</v>
          </cell>
          <cell r="B3035" t="str">
            <v>Horeca Smart</v>
          </cell>
          <cell r="C3035" t="str">
            <v xml:space="preserve">عملاء كاش </v>
          </cell>
          <cell r="D3035" t="str">
            <v>Lames Magdy</v>
          </cell>
        </row>
        <row r="3036">
          <cell r="A3036" t="str">
            <v>مطعم الحلقة للمأكولات البحرية</v>
          </cell>
          <cell r="B3036" t="str">
            <v>Horeca Smart</v>
          </cell>
          <cell r="C3036" t="str">
            <v xml:space="preserve">عملاء كاش </v>
          </cell>
          <cell r="D3036" t="str">
            <v>Lames Magdy</v>
          </cell>
        </row>
        <row r="3037">
          <cell r="A3037" t="str">
            <v>مطعم الحمادي</v>
          </cell>
          <cell r="B3037" t="str">
            <v>Horeca Smart</v>
          </cell>
          <cell r="C3037" t="str">
            <v xml:space="preserve">عملاء كاش </v>
          </cell>
          <cell r="D3037" t="str">
            <v>Reham Maher</v>
          </cell>
        </row>
        <row r="3038">
          <cell r="A3038" t="str">
            <v>مطعم الحمد - المخزن</v>
          </cell>
          <cell r="B3038" t="str">
            <v>Horeca Smart</v>
          </cell>
          <cell r="C3038" t="str">
            <v xml:space="preserve">عملاء كاش </v>
          </cell>
          <cell r="D3038" t="str">
            <v>Donia Khaled</v>
          </cell>
        </row>
        <row r="3039">
          <cell r="A3039" t="str">
            <v>مطعم الخال السوري</v>
          </cell>
          <cell r="B3039" t="str">
            <v>Horeca Smart</v>
          </cell>
          <cell r="C3039" t="str">
            <v xml:space="preserve">عملاء كاش </v>
          </cell>
          <cell r="D3039" t="str">
            <v>Lames Magdy</v>
          </cell>
        </row>
        <row r="3040">
          <cell r="A3040" t="str">
            <v>مطعم الخليفة</v>
          </cell>
          <cell r="B3040" t="str">
            <v>Horeca Smart</v>
          </cell>
          <cell r="C3040" t="str">
            <v xml:space="preserve">عملاء كاش </v>
          </cell>
          <cell r="D3040" t="str">
            <v>Lames Magdy</v>
          </cell>
        </row>
        <row r="3041">
          <cell r="A3041" t="str">
            <v>مطعم الدباغ</v>
          </cell>
          <cell r="B3041" t="str">
            <v>Horeca Smart</v>
          </cell>
          <cell r="C3041" t="str">
            <v xml:space="preserve">عملاء كاش </v>
          </cell>
          <cell r="D3041" t="str">
            <v>Reham Maher</v>
          </cell>
        </row>
        <row r="3042">
          <cell r="A3042" t="str">
            <v>مطعم الدمشقي</v>
          </cell>
          <cell r="B3042" t="str">
            <v>Horeca Smart</v>
          </cell>
          <cell r="C3042" t="str">
            <v xml:space="preserve">عملاء كاش </v>
          </cell>
          <cell r="D3042" t="str">
            <v>Lames Magdy</v>
          </cell>
        </row>
        <row r="3043">
          <cell r="A3043" t="str">
            <v>مطعم الديار</v>
          </cell>
          <cell r="B3043" t="str">
            <v>Horeca Smart</v>
          </cell>
          <cell r="C3043" t="str">
            <v xml:space="preserve">عملاء كاش </v>
          </cell>
          <cell r="D3043" t="str">
            <v>Lames Magdy</v>
          </cell>
        </row>
        <row r="3044">
          <cell r="A3044" t="str">
            <v>مطعم الريس</v>
          </cell>
          <cell r="B3044" t="str">
            <v>Horeca Smart</v>
          </cell>
          <cell r="C3044" t="str">
            <v xml:space="preserve">عملاء كاش </v>
          </cell>
          <cell r="D3044" t="str">
            <v>Lames Magdy</v>
          </cell>
        </row>
        <row r="3045">
          <cell r="A3045" t="str">
            <v>مطعم السامر الخزاندر</v>
          </cell>
          <cell r="B3045" t="str">
            <v>Horeca Smart</v>
          </cell>
          <cell r="C3045" t="str">
            <v xml:space="preserve">عملاء كاش </v>
          </cell>
          <cell r="D3045" t="str">
            <v>Reham Maher</v>
          </cell>
        </row>
        <row r="3046">
          <cell r="A3046" t="str">
            <v>مطعم السراج</v>
          </cell>
          <cell r="B3046" t="str">
            <v>Horeca Smart</v>
          </cell>
          <cell r="C3046" t="str">
            <v xml:space="preserve">عملاء كاش </v>
          </cell>
          <cell r="D3046" t="str">
            <v>Reham Maher</v>
          </cell>
        </row>
        <row r="3047">
          <cell r="A3047" t="str">
            <v>مطعم السلال</v>
          </cell>
          <cell r="B3047" t="str">
            <v>Horeca Smart</v>
          </cell>
          <cell r="C3047" t="str">
            <v xml:space="preserve">عملاء كاش </v>
          </cell>
          <cell r="D3047" t="str">
            <v>Naden Amgad</v>
          </cell>
        </row>
        <row r="3048">
          <cell r="A3048" t="str">
            <v>مطعم الشاب خالد</v>
          </cell>
          <cell r="B3048" t="str">
            <v>Horeca Smart</v>
          </cell>
          <cell r="C3048" t="str">
            <v xml:space="preserve">عملاء كاش </v>
          </cell>
          <cell r="D3048" t="str">
            <v>Reham Maher</v>
          </cell>
        </row>
        <row r="3049">
          <cell r="A3049" t="str">
            <v>مطعم الشام</v>
          </cell>
          <cell r="B3049" t="str">
            <v>Horeca Smart</v>
          </cell>
          <cell r="C3049" t="str">
            <v xml:space="preserve">عملاء كاش </v>
          </cell>
          <cell r="D3049" t="str">
            <v>Reham Maher</v>
          </cell>
        </row>
        <row r="3050">
          <cell r="A3050" t="str">
            <v>مطعم الشبراوي - الهرم</v>
          </cell>
          <cell r="B3050" t="str">
            <v>Horeca Smart</v>
          </cell>
          <cell r="C3050" t="str">
            <v xml:space="preserve">عملاء كاش </v>
          </cell>
          <cell r="D3050" t="str">
            <v>Naden Amgad</v>
          </cell>
        </row>
        <row r="3051">
          <cell r="A3051" t="str">
            <v>مطعم الشبراوي - فيصل</v>
          </cell>
          <cell r="B3051" t="str">
            <v>Horeca Smart</v>
          </cell>
          <cell r="C3051" t="str">
            <v xml:space="preserve">عملاء كاش </v>
          </cell>
          <cell r="D3051" t="str">
            <v>Naden Amgad</v>
          </cell>
        </row>
        <row r="3052">
          <cell r="A3052" t="str">
            <v>مطعم الشرقاوى - مصر الجديدة</v>
          </cell>
          <cell r="B3052" t="str">
            <v>Horeca Smart</v>
          </cell>
          <cell r="C3052" t="str">
            <v xml:space="preserve">عملاء كاش </v>
          </cell>
          <cell r="D3052" t="str">
            <v>Donia Khaled</v>
          </cell>
        </row>
        <row r="3053">
          <cell r="A3053" t="str">
            <v>مطعم الشرقاوي(زهراء مدينه نصر)</v>
          </cell>
          <cell r="B3053" t="str">
            <v>Horeca Smart</v>
          </cell>
          <cell r="C3053" t="str">
            <v xml:space="preserve">عملاء كاش </v>
          </cell>
          <cell r="D3053" t="str">
            <v>Reham Maher</v>
          </cell>
        </row>
        <row r="3054">
          <cell r="A3054" t="str">
            <v>مطعم الشيخ السوري</v>
          </cell>
          <cell r="B3054" t="str">
            <v>Horeca Smart</v>
          </cell>
          <cell r="C3054" t="str">
            <v xml:space="preserve">عملاء كاش </v>
          </cell>
          <cell r="D3054" t="str">
            <v>Lames Magdy</v>
          </cell>
        </row>
        <row r="3055">
          <cell r="A3055" t="str">
            <v>مطعم الشيف ناصر</v>
          </cell>
          <cell r="B3055" t="str">
            <v>Horeca Smart</v>
          </cell>
          <cell r="C3055" t="str">
            <v xml:space="preserve">عملاء كاش </v>
          </cell>
          <cell r="D3055" t="str">
            <v>Reham Maher</v>
          </cell>
        </row>
        <row r="3056">
          <cell r="A3056" t="str">
            <v>مطعم الصحابة - مدينة نصر</v>
          </cell>
          <cell r="B3056" t="str">
            <v>Horeca Smart</v>
          </cell>
          <cell r="C3056" t="str">
            <v xml:space="preserve">عملاء كاش </v>
          </cell>
          <cell r="D3056" t="str">
            <v>Reham Maher</v>
          </cell>
        </row>
        <row r="3057">
          <cell r="A3057" t="str">
            <v>مطعم العمدة  - المعادي</v>
          </cell>
          <cell r="B3057" t="str">
            <v>Horeca Smart</v>
          </cell>
          <cell r="C3057" t="str">
            <v xml:space="preserve">عملاء كاش </v>
          </cell>
          <cell r="D3057" t="str">
            <v>Lames Magdy</v>
          </cell>
        </row>
        <row r="3058">
          <cell r="A3058" t="str">
            <v>مطعم العمدة  - مدينة نصر</v>
          </cell>
          <cell r="B3058" t="str">
            <v>Horeca Smart</v>
          </cell>
          <cell r="C3058" t="str">
            <v xml:space="preserve">عملاء كاش </v>
          </cell>
          <cell r="D3058" t="str">
            <v>Reham Maher</v>
          </cell>
        </row>
        <row r="3059">
          <cell r="A3059" t="str">
            <v>مطعم الفراعنه</v>
          </cell>
          <cell r="B3059" t="str">
            <v>Horeca Smart</v>
          </cell>
          <cell r="C3059" t="str">
            <v xml:space="preserve">عملاء كاش </v>
          </cell>
          <cell r="D3059" t="str">
            <v>Mona Mohamed</v>
          </cell>
        </row>
        <row r="3060">
          <cell r="A3060" t="str">
            <v>مطعم الفراعنه- الهرم</v>
          </cell>
          <cell r="B3060" t="str">
            <v>Horeca Smart</v>
          </cell>
          <cell r="C3060" t="str">
            <v xml:space="preserve">عملاء كاش </v>
          </cell>
          <cell r="D3060" t="str">
            <v>Mona Mohamed</v>
          </cell>
        </row>
        <row r="3061">
          <cell r="A3061" t="str">
            <v>مطعم المؤمن</v>
          </cell>
          <cell r="B3061" t="str">
            <v>Horeca Smart</v>
          </cell>
          <cell r="C3061" t="str">
            <v xml:space="preserve">عملاء كاش </v>
          </cell>
          <cell r="D3061" t="str">
            <v>Reham Maher</v>
          </cell>
        </row>
        <row r="3062">
          <cell r="A3062" t="str">
            <v>مطعم المدينة المنورة -الوفاء و الأمل</v>
          </cell>
          <cell r="B3062" t="str">
            <v>Horeca Smart</v>
          </cell>
          <cell r="C3062" t="str">
            <v xml:space="preserve">عملاء كاش </v>
          </cell>
          <cell r="D3062" t="str">
            <v>Reham Maher</v>
          </cell>
        </row>
        <row r="3063">
          <cell r="A3063" t="str">
            <v>مطعم المعلم</v>
          </cell>
          <cell r="B3063" t="str">
            <v>Horeca Smart</v>
          </cell>
          <cell r="C3063" t="str">
            <v xml:space="preserve">عملاء كاش </v>
          </cell>
          <cell r="D3063" t="str">
            <v>Naden Amgad</v>
          </cell>
        </row>
        <row r="3064">
          <cell r="A3064" t="str">
            <v>مطعم الوطنية</v>
          </cell>
          <cell r="B3064" t="str">
            <v>Horeca Smart</v>
          </cell>
          <cell r="C3064" t="str">
            <v xml:space="preserve">عملاء كاش </v>
          </cell>
          <cell r="D3064" t="str">
            <v>Lames Magdy</v>
          </cell>
        </row>
        <row r="3065">
          <cell r="A3065" t="str">
            <v>مطعم الياسمين للمأكولات السورية</v>
          </cell>
          <cell r="B3065" t="str">
            <v>Horeca Smart</v>
          </cell>
          <cell r="C3065" t="str">
            <v xml:space="preserve">عملاء كاش </v>
          </cell>
          <cell r="D3065" t="str">
            <v>Reham Maher</v>
          </cell>
        </row>
        <row r="3066">
          <cell r="A3066" t="str">
            <v>مطعم اليمن للمندي</v>
          </cell>
          <cell r="B3066" t="str">
            <v>Horeca Smart</v>
          </cell>
          <cell r="C3066" t="str">
            <v xml:space="preserve">عملاء كاش </v>
          </cell>
          <cell r="D3066" t="str">
            <v>Reham Maher</v>
          </cell>
        </row>
        <row r="3067">
          <cell r="A3067" t="str">
            <v>مطعم امواج اليمن السعيد</v>
          </cell>
          <cell r="B3067" t="str">
            <v>Horeca Smart</v>
          </cell>
          <cell r="C3067" t="str">
            <v xml:space="preserve">عملاء كاش </v>
          </cell>
          <cell r="D3067" t="str">
            <v>Naden Amgad</v>
          </cell>
        </row>
        <row r="3068">
          <cell r="A3068" t="str">
            <v>مطعم اندى</v>
          </cell>
          <cell r="B3068" t="str">
            <v>Horeca Smart</v>
          </cell>
          <cell r="C3068" t="str">
            <v xml:space="preserve">عملاء كاش </v>
          </cell>
          <cell r="D3068" t="str">
            <v>Donia Khaled</v>
          </cell>
        </row>
        <row r="3069">
          <cell r="A3069" t="str">
            <v>مطعم اودين ميوزيك هاوس</v>
          </cell>
          <cell r="B3069" t="str">
            <v>Horeca Smart</v>
          </cell>
          <cell r="C3069" t="str">
            <v xml:space="preserve">عملاء كاش </v>
          </cell>
          <cell r="D3069" t="str">
            <v>Lames Magdy</v>
          </cell>
        </row>
        <row r="3070">
          <cell r="A3070" t="str">
            <v>مطعم باشاوية</v>
          </cell>
          <cell r="B3070" t="str">
            <v>Horeca Smart</v>
          </cell>
          <cell r="C3070" t="str">
            <v xml:space="preserve">عملاء كاش </v>
          </cell>
          <cell r="D3070" t="str">
            <v>Donia Khaled</v>
          </cell>
        </row>
        <row r="3071">
          <cell r="A3071" t="str">
            <v>مطعم بالميرا الصغيره</v>
          </cell>
          <cell r="B3071" t="str">
            <v>Horeca Smart</v>
          </cell>
          <cell r="C3071" t="str">
            <v xml:space="preserve">عملاء كاش </v>
          </cell>
          <cell r="D3071" t="str">
            <v>Donia Khaled</v>
          </cell>
        </row>
        <row r="3072">
          <cell r="A3072" t="str">
            <v>مطعم بانش بايتس</v>
          </cell>
          <cell r="B3072" t="str">
            <v>Horeca Smart</v>
          </cell>
          <cell r="C3072" t="str">
            <v xml:space="preserve">عملاء كاش </v>
          </cell>
          <cell r="D3072" t="str">
            <v>Lames Magdy</v>
          </cell>
        </row>
        <row r="3073">
          <cell r="A3073" t="str">
            <v>مطعم بخاري</v>
          </cell>
          <cell r="B3073" t="str">
            <v>Horeca Smart</v>
          </cell>
          <cell r="C3073" t="str">
            <v xml:space="preserve">عملاء كاش </v>
          </cell>
          <cell r="D3073" t="str">
            <v>Reham Maher</v>
          </cell>
        </row>
        <row r="3074">
          <cell r="A3074" t="str">
            <v>مطعم برو سكالا</v>
          </cell>
          <cell r="B3074" t="str">
            <v>Horeca Smart</v>
          </cell>
          <cell r="C3074" t="str">
            <v xml:space="preserve">عملاء كاش </v>
          </cell>
          <cell r="D3074" t="str">
            <v>Naden Amgad</v>
          </cell>
        </row>
        <row r="3075">
          <cell r="A3075" t="str">
            <v>مطعم بروستد الملك</v>
          </cell>
          <cell r="B3075" t="str">
            <v>Horeca Smart</v>
          </cell>
          <cell r="C3075" t="str">
            <v xml:space="preserve">عملاء كاش </v>
          </cell>
          <cell r="D3075" t="str">
            <v>Donia Khaled</v>
          </cell>
        </row>
        <row r="3076">
          <cell r="A3076" t="str">
            <v>مطعم بريمر</v>
          </cell>
          <cell r="B3076" t="str">
            <v>Horeca Smart</v>
          </cell>
          <cell r="C3076" t="str">
            <v xml:space="preserve">عملاء كاش </v>
          </cell>
          <cell r="D3076" t="str">
            <v>Donia Khaled</v>
          </cell>
        </row>
        <row r="3077">
          <cell r="A3077" t="str">
            <v>مطعم بسترما مانو</v>
          </cell>
          <cell r="B3077" t="str">
            <v>Horeca Smart</v>
          </cell>
          <cell r="C3077" t="str">
            <v xml:space="preserve">عملاء كاش </v>
          </cell>
          <cell r="D3077" t="str">
            <v>Reham Maher</v>
          </cell>
        </row>
        <row r="3078">
          <cell r="A3078" t="str">
            <v>مطعم بلاتوس</v>
          </cell>
          <cell r="B3078" t="str">
            <v>Horeca Smart</v>
          </cell>
          <cell r="C3078" t="str">
            <v xml:space="preserve">عملاء كاش </v>
          </cell>
          <cell r="D3078" t="str">
            <v>Lames Magdy</v>
          </cell>
        </row>
        <row r="3079">
          <cell r="A3079" t="str">
            <v>مطعم بوتيكا</v>
          </cell>
          <cell r="B3079" t="str">
            <v>Horeca Smart</v>
          </cell>
          <cell r="C3079" t="str">
            <v xml:space="preserve">عملاء كاش </v>
          </cell>
          <cell r="D3079" t="str">
            <v>Lames Magdy</v>
          </cell>
        </row>
        <row r="3080">
          <cell r="A3080" t="str">
            <v>مطعم بوخارست بلاك</v>
          </cell>
          <cell r="B3080" t="str">
            <v>Horeca Smart</v>
          </cell>
          <cell r="C3080" t="str">
            <v xml:space="preserve">عملاء كاش </v>
          </cell>
          <cell r="D3080" t="str">
            <v>Donia Khaled</v>
          </cell>
        </row>
        <row r="3081">
          <cell r="A3081" t="str">
            <v>مطعم بودي</v>
          </cell>
          <cell r="B3081" t="str">
            <v>Horeca Smart</v>
          </cell>
          <cell r="C3081" t="str">
            <v xml:space="preserve">عملاء كاش </v>
          </cell>
          <cell r="D3081" t="str">
            <v>Donia Khaled</v>
          </cell>
        </row>
        <row r="3082">
          <cell r="A3082" t="str">
            <v>مطعم بوشكا</v>
          </cell>
          <cell r="B3082" t="str">
            <v>Horeca Smart</v>
          </cell>
          <cell r="C3082" t="str">
            <v xml:space="preserve">عملاء كاش </v>
          </cell>
          <cell r="D3082" t="str">
            <v>Donia Khaled</v>
          </cell>
        </row>
        <row r="3083">
          <cell r="A3083" t="str">
            <v>مطعم بون ابيتي, مطعم بون ابيتي, الجيزة</v>
          </cell>
          <cell r="B3083" t="str">
            <v>Horeca Smart</v>
          </cell>
          <cell r="C3083" t="str">
            <v xml:space="preserve">عملاء كاش </v>
          </cell>
          <cell r="D3083" t="str">
            <v>Mona Mohamed</v>
          </cell>
        </row>
        <row r="3084">
          <cell r="A3084" t="str">
            <v>مطعم بون ابيتي, مطعم بون ابيتي, الرحاب</v>
          </cell>
          <cell r="B3084" t="str">
            <v>Horeca Smart</v>
          </cell>
          <cell r="C3084" t="str">
            <v xml:space="preserve">عملاء كاش </v>
          </cell>
          <cell r="D3084" t="str">
            <v>Donia Khaled</v>
          </cell>
        </row>
        <row r="3085">
          <cell r="A3085" t="str">
            <v>مطعم بون ابيتي, مطعم بون ابيتي, الشروق</v>
          </cell>
          <cell r="B3085" t="str">
            <v>Horeca Smart</v>
          </cell>
          <cell r="C3085" t="str">
            <v xml:space="preserve">عملاء كاش </v>
          </cell>
          <cell r="D3085" t="str">
            <v>Lames Magdy</v>
          </cell>
        </row>
        <row r="3086">
          <cell r="A3086" t="str">
            <v>مطعم بون ابيتي, مطعم بون ابيتي, المقطم</v>
          </cell>
          <cell r="B3086" t="str">
            <v>Horeca Smart</v>
          </cell>
          <cell r="C3086" t="str">
            <v xml:space="preserve">عملاء كاش </v>
          </cell>
          <cell r="D3086" t="str">
            <v>Lames Magdy</v>
          </cell>
        </row>
        <row r="3087">
          <cell r="A3087" t="str">
            <v>مطعم بون ابيتي, مطعم بون ابيتي, مدينة نصر</v>
          </cell>
          <cell r="B3087" t="str">
            <v>Horeca Smart</v>
          </cell>
          <cell r="C3087" t="str">
            <v xml:space="preserve">عملاء كاش </v>
          </cell>
          <cell r="D3087" t="str">
            <v>Reham Maher</v>
          </cell>
        </row>
        <row r="3088">
          <cell r="A3088" t="str">
            <v>مطعم بيانكو</v>
          </cell>
          <cell r="B3088" t="str">
            <v>Horeca Smart</v>
          </cell>
          <cell r="C3088" t="str">
            <v xml:space="preserve">عملاء كاش </v>
          </cell>
          <cell r="D3088" t="str">
            <v>Rasha Hassan</v>
          </cell>
        </row>
        <row r="3089">
          <cell r="A3089" t="str">
            <v>مطعم بيبو</v>
          </cell>
          <cell r="B3089" t="str">
            <v>Horeca Smart</v>
          </cell>
          <cell r="C3089" t="str">
            <v xml:space="preserve">عملاء كاش </v>
          </cell>
          <cell r="D3089" t="str">
            <v>Donia Khaled</v>
          </cell>
        </row>
        <row r="3090">
          <cell r="A3090" t="str">
            <v>مطعم بيت مريم</v>
          </cell>
          <cell r="B3090" t="str">
            <v>Horeca Smart</v>
          </cell>
          <cell r="C3090" t="str">
            <v xml:space="preserve">عملاء كاش </v>
          </cell>
          <cell r="D3090" t="str">
            <v>Reham Maher</v>
          </cell>
        </row>
        <row r="3091">
          <cell r="A3091" t="str">
            <v>مطعم بيلز بيلى, مطعم بيلز بيلى, اكتوبر</v>
          </cell>
          <cell r="B3091" t="str">
            <v>Horeca Smart</v>
          </cell>
          <cell r="C3091" t="str">
            <v xml:space="preserve">عملاء كاش </v>
          </cell>
          <cell r="D3091" t="str">
            <v>Naden Amgad</v>
          </cell>
        </row>
        <row r="3092">
          <cell r="A3092" t="str">
            <v>مطعم بيلز بيلى, مطعم بيلز بيلى, المخزن</v>
          </cell>
          <cell r="B3092" t="str">
            <v>Horeca Smart</v>
          </cell>
          <cell r="C3092" t="str">
            <v xml:space="preserve">عملاء كاش </v>
          </cell>
          <cell r="D3092" t="str">
            <v>Lames Magdy</v>
          </cell>
        </row>
        <row r="3093">
          <cell r="A3093" t="str">
            <v>مطعم بيور كاب</v>
          </cell>
          <cell r="B3093" t="str">
            <v>Horeca Smart</v>
          </cell>
          <cell r="C3093" t="str">
            <v xml:space="preserve">عملاء كاش </v>
          </cell>
          <cell r="D3093" t="str">
            <v>Lames Magdy</v>
          </cell>
        </row>
        <row r="3094">
          <cell r="A3094" t="str">
            <v>مطعم ترند</v>
          </cell>
          <cell r="B3094" t="str">
            <v>Horeca Smart</v>
          </cell>
          <cell r="C3094" t="str">
            <v xml:space="preserve">عملاء كاش </v>
          </cell>
          <cell r="D3094" t="str">
            <v>Naden Amgad</v>
          </cell>
        </row>
        <row r="3095">
          <cell r="A3095" t="str">
            <v>مطعم ترينتي</v>
          </cell>
          <cell r="B3095" t="str">
            <v>Horeca Smart</v>
          </cell>
          <cell r="C3095" t="str">
            <v xml:space="preserve">عملاء كاش </v>
          </cell>
          <cell r="D3095" t="str">
            <v>Lames Magdy</v>
          </cell>
        </row>
        <row r="3096">
          <cell r="A3096" t="str">
            <v>مطعم تشكين جامبو</v>
          </cell>
          <cell r="B3096" t="str">
            <v>Horeca Smart</v>
          </cell>
          <cell r="C3096" t="str">
            <v xml:space="preserve">عملاء كاش </v>
          </cell>
          <cell r="D3096" t="str">
            <v>Donia Khaled</v>
          </cell>
        </row>
        <row r="3097">
          <cell r="A3097" t="str">
            <v>مطعم تشكين جامبو- الوايلى</v>
          </cell>
          <cell r="B3097" t="str">
            <v>Horeca Smart</v>
          </cell>
          <cell r="C3097" t="str">
            <v xml:space="preserve">عملاء كاش </v>
          </cell>
          <cell r="D3097" t="str">
            <v>Lames Magdy</v>
          </cell>
        </row>
        <row r="3098">
          <cell r="A3098" t="str">
            <v>مطعم تشيكسي, مطعم تشيكسي, المعادي</v>
          </cell>
          <cell r="B3098" t="str">
            <v>Horeca Smart</v>
          </cell>
          <cell r="C3098" t="str">
            <v xml:space="preserve">عملاء كاش </v>
          </cell>
          <cell r="D3098" t="str">
            <v>Reham Maher</v>
          </cell>
        </row>
        <row r="3099">
          <cell r="A3099" t="str">
            <v>مطعم تشيكسي, مطعم تشيكسي, المقطم</v>
          </cell>
          <cell r="B3099" t="str">
            <v>Horeca Smart</v>
          </cell>
          <cell r="C3099" t="str">
            <v xml:space="preserve">عملاء كاش </v>
          </cell>
          <cell r="D3099" t="str">
            <v>Reham Maher</v>
          </cell>
        </row>
        <row r="3100">
          <cell r="A3100" t="str">
            <v>مطعم تشيكسي, مطعم تشيكسي, زهراء المعادي</v>
          </cell>
          <cell r="B3100" t="str">
            <v>Horeca Smart</v>
          </cell>
          <cell r="C3100" t="str">
            <v xml:space="preserve">عملاء كاش </v>
          </cell>
          <cell r="D3100" t="str">
            <v>Reham Maher</v>
          </cell>
        </row>
        <row r="3101">
          <cell r="A3101" t="str">
            <v>مطعم تشيكسي, مطعم تشيكسي, مدينة نصر</v>
          </cell>
          <cell r="B3101" t="str">
            <v>Horeca Smart</v>
          </cell>
          <cell r="C3101" t="str">
            <v xml:space="preserve">عملاء كاش </v>
          </cell>
          <cell r="D3101" t="str">
            <v>Reham Maher</v>
          </cell>
        </row>
        <row r="3102">
          <cell r="A3102" t="str">
            <v>مطعم تفاحة</v>
          </cell>
          <cell r="B3102" t="str">
            <v>Horeca Smart</v>
          </cell>
          <cell r="C3102" t="str">
            <v xml:space="preserve">عملاء كاش </v>
          </cell>
          <cell r="D3102" t="str">
            <v>Naden Amgad</v>
          </cell>
        </row>
        <row r="3103">
          <cell r="A3103" t="str">
            <v>مطعم تورونتو</v>
          </cell>
          <cell r="B3103" t="str">
            <v>Horeca Smart</v>
          </cell>
          <cell r="C3103" t="str">
            <v xml:space="preserve">عملاء كاش </v>
          </cell>
          <cell r="D3103" t="str">
            <v>Reham Maher</v>
          </cell>
        </row>
        <row r="3104">
          <cell r="A3104" t="str">
            <v>مطعم جافى - العجوزة</v>
          </cell>
          <cell r="B3104" t="str">
            <v>Horeca Smart</v>
          </cell>
          <cell r="C3104" t="str">
            <v xml:space="preserve">عملاء كاش </v>
          </cell>
          <cell r="D3104" t="str">
            <v>Naden Amgad</v>
          </cell>
        </row>
        <row r="3105">
          <cell r="A3105" t="str">
            <v>مطعم جافى _ مدينتي</v>
          </cell>
          <cell r="B3105" t="str">
            <v>Horeca Smart</v>
          </cell>
          <cell r="C3105" t="str">
            <v xml:space="preserve">عملاء كاش </v>
          </cell>
          <cell r="D3105" t="str">
            <v>Donia Khaled</v>
          </cell>
        </row>
        <row r="3106">
          <cell r="A3106" t="str">
            <v>مطعم جاكو</v>
          </cell>
          <cell r="B3106" t="str">
            <v>Horeca Smart</v>
          </cell>
          <cell r="C3106" t="str">
            <v xml:space="preserve">عملاء كاش </v>
          </cell>
          <cell r="D3106" t="str">
            <v>Lames Magdy</v>
          </cell>
        </row>
        <row r="3107">
          <cell r="A3107" t="str">
            <v>مطعم جباتي وكرك</v>
          </cell>
          <cell r="B3107" t="str">
            <v>Horeca Smart</v>
          </cell>
          <cell r="C3107" t="str">
            <v xml:space="preserve">عملاء كاش </v>
          </cell>
          <cell r="D3107" t="str">
            <v>Naden Amgad</v>
          </cell>
        </row>
        <row r="3108">
          <cell r="A3108" t="str">
            <v>مطعم جريل بوس</v>
          </cell>
          <cell r="B3108" t="str">
            <v>Horeca Smart</v>
          </cell>
          <cell r="C3108" t="str">
            <v xml:space="preserve">عملاء كاش </v>
          </cell>
          <cell r="D3108" t="str">
            <v>Reham Maher</v>
          </cell>
        </row>
        <row r="3109">
          <cell r="A3109" t="str">
            <v>مطعم جمبري</v>
          </cell>
          <cell r="B3109" t="str">
            <v>Horeca Smart</v>
          </cell>
          <cell r="C3109" t="str">
            <v xml:space="preserve">عملاء كاش </v>
          </cell>
          <cell r="D3109" t="str">
            <v>Donia Khaled</v>
          </cell>
        </row>
        <row r="3110">
          <cell r="A3110" t="str">
            <v>مطعم جوستو</v>
          </cell>
          <cell r="B3110" t="str">
            <v>Horeca Smart</v>
          </cell>
          <cell r="C3110" t="str">
            <v xml:space="preserve">عملاء كاش </v>
          </cell>
          <cell r="D3110" t="str">
            <v>Lames Magdy</v>
          </cell>
        </row>
        <row r="3111">
          <cell r="A3111" t="str">
            <v>مطعم جوه البحر</v>
          </cell>
          <cell r="B3111" t="str">
            <v>Horeca Smart</v>
          </cell>
          <cell r="C3111" t="str">
            <v xml:space="preserve">عملاء كاش </v>
          </cell>
          <cell r="D3111" t="str">
            <v>Reham Maher</v>
          </cell>
        </row>
        <row r="3112">
          <cell r="A3112" t="str">
            <v>مطعم جيبسي</v>
          </cell>
          <cell r="B3112" t="str">
            <v>Horeca Smart</v>
          </cell>
          <cell r="C3112" t="str">
            <v xml:space="preserve">عملاء كاش </v>
          </cell>
          <cell r="D3112" t="str">
            <v>Lames Magdy</v>
          </cell>
        </row>
        <row r="3113">
          <cell r="A3113" t="str">
            <v>مطعم جيرو</v>
          </cell>
          <cell r="B3113" t="str">
            <v>Horeca Smart</v>
          </cell>
          <cell r="C3113" t="str">
            <v xml:space="preserve">عملاء كاش </v>
          </cell>
          <cell r="D3113" t="str">
            <v>Lames Magdy</v>
          </cell>
        </row>
        <row r="3114">
          <cell r="A3114" t="str">
            <v>مطعم جيمي كوك</v>
          </cell>
          <cell r="B3114" t="str">
            <v>Horeca Smart</v>
          </cell>
          <cell r="C3114" t="str">
            <v xml:space="preserve">عملاء كاش </v>
          </cell>
          <cell r="D3114" t="str">
            <v>Lames Magdy</v>
          </cell>
        </row>
        <row r="3115">
          <cell r="A3115" t="str">
            <v>مطعم حاره شاميه</v>
          </cell>
          <cell r="B3115" t="str">
            <v>Horeca Smart</v>
          </cell>
          <cell r="C3115" t="str">
            <v xml:space="preserve">عملاء كاش </v>
          </cell>
          <cell r="D3115" t="str">
            <v>Reham Maher</v>
          </cell>
        </row>
        <row r="3116">
          <cell r="A3116" t="str">
            <v>مطعم حجازى</v>
          </cell>
          <cell r="B3116" t="str">
            <v>Horeca Smart</v>
          </cell>
          <cell r="C3116" t="str">
            <v xml:space="preserve">عملاء كاش </v>
          </cell>
          <cell r="D3116" t="str">
            <v>Lames Magdy</v>
          </cell>
        </row>
        <row r="3117">
          <cell r="A3117" t="str">
            <v>مطعم حسنى</v>
          </cell>
          <cell r="B3117" t="str">
            <v>Horeca Smart</v>
          </cell>
          <cell r="C3117" t="str">
            <v xml:space="preserve">عملاء كاش </v>
          </cell>
          <cell r="D3117" t="str">
            <v>Reham Maher</v>
          </cell>
        </row>
        <row r="3118">
          <cell r="A3118" t="str">
            <v>مطعم حصان البحر</v>
          </cell>
          <cell r="B3118" t="str">
            <v>Horeca Smart</v>
          </cell>
          <cell r="C3118" t="str">
            <v xml:space="preserve">عملاء كاش </v>
          </cell>
          <cell r="D3118" t="str">
            <v>Lames Magdy</v>
          </cell>
        </row>
        <row r="3119">
          <cell r="A3119" t="str">
            <v>مطعم حمزة</v>
          </cell>
          <cell r="B3119" t="str">
            <v>Horeca Smart</v>
          </cell>
          <cell r="C3119" t="str">
            <v xml:space="preserve">عملاء كاش </v>
          </cell>
          <cell r="D3119" t="str">
            <v>Reham Maher</v>
          </cell>
        </row>
        <row r="3120">
          <cell r="A3120" t="str">
            <v>مطعم حي الرمال</v>
          </cell>
          <cell r="B3120" t="str">
            <v>Horeca Smart</v>
          </cell>
          <cell r="C3120" t="str">
            <v xml:space="preserve">عملاء كاش </v>
          </cell>
          <cell r="D3120" t="str">
            <v>Reham Maher</v>
          </cell>
        </row>
        <row r="3121">
          <cell r="A3121" t="str">
            <v>مطعم خالتي</v>
          </cell>
          <cell r="B3121" t="str">
            <v>Horeca Smart</v>
          </cell>
          <cell r="C3121" t="str">
            <v xml:space="preserve">عملاء كاش </v>
          </cell>
          <cell r="D3121" t="str">
            <v>Lames Magdy</v>
          </cell>
        </row>
        <row r="3122">
          <cell r="A3122" t="str">
            <v>مطعم خضر</v>
          </cell>
          <cell r="B3122" t="str">
            <v>Horeca Smart</v>
          </cell>
          <cell r="C3122" t="str">
            <v xml:space="preserve">عملاء كاش </v>
          </cell>
          <cell r="D3122" t="str">
            <v>Donia Khaled</v>
          </cell>
        </row>
        <row r="3123">
          <cell r="A3123" t="str">
            <v>مطعم دار حلب الشهباء</v>
          </cell>
          <cell r="B3123" t="str">
            <v>Horeca Smart</v>
          </cell>
          <cell r="C3123" t="str">
            <v xml:space="preserve">عملاء كاش </v>
          </cell>
          <cell r="D3123" t="str">
            <v>Lames Magdy</v>
          </cell>
        </row>
        <row r="3124">
          <cell r="A3124" t="str">
            <v>مطعم دجاج وبندق, مطعم دجاج وبندق, (المعادي)</v>
          </cell>
          <cell r="B3124" t="str">
            <v>Horeca Smart</v>
          </cell>
          <cell r="C3124" t="str">
            <v xml:space="preserve">عملاء كاش </v>
          </cell>
          <cell r="D3124" t="str">
            <v>Reham Maher</v>
          </cell>
        </row>
        <row r="3125">
          <cell r="A3125" t="str">
            <v>مطعم دجاج وبندق, مطعم دجاج وبندق, العبور</v>
          </cell>
          <cell r="B3125" t="str">
            <v>Horeca Smart</v>
          </cell>
          <cell r="C3125" t="str">
            <v xml:space="preserve">عملاء كاش </v>
          </cell>
          <cell r="D3125" t="str">
            <v>Reham Maher</v>
          </cell>
        </row>
        <row r="3126">
          <cell r="A3126" t="str">
            <v>مطعم دسوقى اند صودا</v>
          </cell>
          <cell r="B3126" t="str">
            <v>Horeca Smart</v>
          </cell>
          <cell r="C3126" t="str">
            <v>عملاء اجل</v>
          </cell>
          <cell r="D3126" t="str">
            <v>Mona Mohamed</v>
          </cell>
        </row>
        <row r="3127">
          <cell r="A3127" t="str">
            <v>مطعم دمشق</v>
          </cell>
          <cell r="B3127" t="str">
            <v>Horeca Smart</v>
          </cell>
          <cell r="C3127" t="str">
            <v xml:space="preserve">عملاء كاش </v>
          </cell>
          <cell r="D3127" t="str">
            <v>Lames Magdy</v>
          </cell>
        </row>
        <row r="3128">
          <cell r="A3128" t="str">
            <v>مطعم دي جاجا</v>
          </cell>
          <cell r="B3128" t="str">
            <v>Horeca Smart</v>
          </cell>
          <cell r="C3128" t="str">
            <v xml:space="preserve">عملاء كاش </v>
          </cell>
          <cell r="D3128" t="str">
            <v>Lames Magdy</v>
          </cell>
        </row>
        <row r="3129">
          <cell r="A3129" t="str">
            <v>مطعم رزق البحر</v>
          </cell>
          <cell r="B3129" t="str">
            <v>Horeca Smart</v>
          </cell>
          <cell r="C3129" t="str">
            <v xml:space="preserve">عملاء كاش </v>
          </cell>
          <cell r="D3129" t="str">
            <v>Lames Magdy</v>
          </cell>
        </row>
        <row r="3130">
          <cell r="A3130" t="str">
            <v>مطعم روستو</v>
          </cell>
          <cell r="B3130" t="str">
            <v>Horeca Smart</v>
          </cell>
          <cell r="C3130" t="str">
            <v xml:space="preserve">عملاء كاش </v>
          </cell>
          <cell r="D3130" t="str">
            <v>Reham Maher</v>
          </cell>
        </row>
        <row r="3131">
          <cell r="A3131" t="str">
            <v>مطعم روستي</v>
          </cell>
          <cell r="B3131" t="str">
            <v>Horeca Smart</v>
          </cell>
          <cell r="C3131" t="str">
            <v xml:space="preserve">عملاء كاش </v>
          </cell>
          <cell r="D3131" t="str">
            <v>Donia Khaled</v>
          </cell>
        </row>
        <row r="3132">
          <cell r="A3132" t="str">
            <v>مطعم روكا</v>
          </cell>
          <cell r="B3132" t="str">
            <v>Horeca Smart</v>
          </cell>
          <cell r="C3132" t="str">
            <v xml:space="preserve">عملاء كاش </v>
          </cell>
          <cell r="D3132" t="str">
            <v>Reham Maher</v>
          </cell>
        </row>
        <row r="3133">
          <cell r="A3133" t="str">
            <v>مطعم رويال</v>
          </cell>
          <cell r="B3133" t="str">
            <v>Horeca Smart</v>
          </cell>
          <cell r="C3133" t="str">
            <v xml:space="preserve">عملاء كاش </v>
          </cell>
          <cell r="D3133" t="str">
            <v>Reham Maher</v>
          </cell>
        </row>
        <row r="3134">
          <cell r="A3134" t="str">
            <v>مطعم زرايه</v>
          </cell>
          <cell r="B3134" t="str">
            <v>Horeca Smart</v>
          </cell>
          <cell r="C3134" t="str">
            <v xml:space="preserve">عملاء كاش </v>
          </cell>
          <cell r="D3134" t="str">
            <v>Reham Maher</v>
          </cell>
        </row>
        <row r="3135">
          <cell r="A3135" t="str">
            <v>مطعم زوبا</v>
          </cell>
          <cell r="B3135" t="str">
            <v>Horeca Smart</v>
          </cell>
          <cell r="C3135" t="str">
            <v xml:space="preserve">عملاء كاش </v>
          </cell>
          <cell r="D3135" t="str">
            <v>Naden Amgad</v>
          </cell>
        </row>
        <row r="3136">
          <cell r="A3136" t="str">
            <v>مطعم زوبا الرحاب</v>
          </cell>
          <cell r="B3136" t="str">
            <v>Horeca Smart</v>
          </cell>
          <cell r="C3136" t="str">
            <v xml:space="preserve">عملاء كاش </v>
          </cell>
          <cell r="D3136" t="str">
            <v>Lames Magdy</v>
          </cell>
        </row>
        <row r="3137">
          <cell r="A3137" t="str">
            <v>مطعم سايرس</v>
          </cell>
          <cell r="B3137" t="str">
            <v>Horeca Smart</v>
          </cell>
          <cell r="C3137" t="str">
            <v xml:space="preserve">عملاء كاش </v>
          </cell>
          <cell r="D3137" t="str">
            <v>Lames Magdy</v>
          </cell>
        </row>
        <row r="3138">
          <cell r="A3138" t="str">
            <v>مطعم ستارت</v>
          </cell>
          <cell r="B3138" t="str">
            <v>Horeca Smart</v>
          </cell>
          <cell r="C3138" t="str">
            <v xml:space="preserve">عملاء كاش </v>
          </cell>
          <cell r="D3138" t="str">
            <v>Reham Maher</v>
          </cell>
        </row>
        <row r="3139">
          <cell r="A3139" t="str">
            <v>مطعم ستريو</v>
          </cell>
          <cell r="B3139" t="str">
            <v>Horeca Smart</v>
          </cell>
          <cell r="C3139" t="str">
            <v xml:space="preserve">عملاء كاش </v>
          </cell>
          <cell r="D3139" t="str">
            <v>Lames Magdy</v>
          </cell>
        </row>
        <row r="3140">
          <cell r="A3140" t="str">
            <v>مطعم سر الهوى</v>
          </cell>
          <cell r="B3140" t="str">
            <v>Horeca Smart</v>
          </cell>
          <cell r="C3140" t="str">
            <v xml:space="preserve">عملاء كاش </v>
          </cell>
          <cell r="D3140" t="str">
            <v>Reham Maher</v>
          </cell>
        </row>
        <row r="3141">
          <cell r="A3141" t="str">
            <v>مطعم سفن</v>
          </cell>
          <cell r="B3141" t="str">
            <v>Horeca Smart</v>
          </cell>
          <cell r="C3141" t="str">
            <v xml:space="preserve">عملاء كاش </v>
          </cell>
          <cell r="D3141" t="str">
            <v>Lames Magdy</v>
          </cell>
        </row>
        <row r="3142">
          <cell r="A3142" t="str">
            <v>مطعم سمرا</v>
          </cell>
          <cell r="B3142" t="str">
            <v>Horeca Smart</v>
          </cell>
          <cell r="C3142" t="str">
            <v xml:space="preserve">عملاء كاش </v>
          </cell>
          <cell r="D3142" t="str">
            <v>Reham Maher</v>
          </cell>
        </row>
        <row r="3143">
          <cell r="A3143" t="str">
            <v>مطعم سمرا - الاسماعلية</v>
          </cell>
          <cell r="B3143" t="str">
            <v>Horeca Smart</v>
          </cell>
          <cell r="C3143" t="str">
            <v xml:space="preserve">عملاء كاش </v>
          </cell>
          <cell r="D3143" t="str">
            <v>Mona Mohamed</v>
          </cell>
        </row>
        <row r="3144">
          <cell r="A3144" t="str">
            <v>مطعم سموكي</v>
          </cell>
          <cell r="B3144" t="str">
            <v>Horeca Smart</v>
          </cell>
          <cell r="C3144" t="str">
            <v xml:space="preserve">عملاء كاش </v>
          </cell>
          <cell r="D3144" t="str">
            <v>Shorouk khaled</v>
          </cell>
        </row>
        <row r="3145">
          <cell r="A3145" t="str">
            <v>مطعم سيبيا</v>
          </cell>
          <cell r="B3145" t="str">
            <v>Horeca Smart</v>
          </cell>
          <cell r="C3145" t="str">
            <v xml:space="preserve">عملاء كاش </v>
          </cell>
          <cell r="D3145" t="str">
            <v>Lames Magdy</v>
          </cell>
        </row>
        <row r="3146">
          <cell r="A3146" t="str">
            <v>مطعم شاميز</v>
          </cell>
          <cell r="B3146" t="str">
            <v>Horeca Smart</v>
          </cell>
          <cell r="C3146" t="str">
            <v xml:space="preserve">عملاء كاش </v>
          </cell>
          <cell r="D3146" t="str">
            <v>Donia Khaled</v>
          </cell>
        </row>
        <row r="3147">
          <cell r="A3147" t="str">
            <v>مطعم شنابو</v>
          </cell>
          <cell r="B3147" t="str">
            <v>Horeca Smart</v>
          </cell>
          <cell r="C3147" t="str">
            <v xml:space="preserve">عملاء كاش </v>
          </cell>
          <cell r="D3147" t="str">
            <v>Reham Maher</v>
          </cell>
        </row>
        <row r="3148">
          <cell r="A3148" t="str">
            <v>مطعم شيخ الصيادين</v>
          </cell>
          <cell r="B3148" t="str">
            <v>Horeca Smart</v>
          </cell>
          <cell r="C3148" t="str">
            <v xml:space="preserve">عملاء كاش </v>
          </cell>
          <cell r="D3148" t="str">
            <v>Naden Amgad</v>
          </cell>
        </row>
        <row r="3149">
          <cell r="A3149" t="str">
            <v>مطعم شيرز</v>
          </cell>
          <cell r="B3149" t="str">
            <v>Horeca Smart</v>
          </cell>
          <cell r="C3149" t="str">
            <v xml:space="preserve">عملاء كاش </v>
          </cell>
          <cell r="D3149" t="str">
            <v>Lames Magdy</v>
          </cell>
        </row>
        <row r="3150">
          <cell r="A3150" t="str">
            <v>مطعم شيش وكفتة</v>
          </cell>
          <cell r="B3150" t="str">
            <v>Horeca Smart</v>
          </cell>
          <cell r="C3150" t="str">
            <v xml:space="preserve">عملاء كاش </v>
          </cell>
          <cell r="D3150" t="str">
            <v>Reham Maher</v>
          </cell>
        </row>
        <row r="3151">
          <cell r="A3151" t="str">
            <v>مطعم شيكى ويكى</v>
          </cell>
          <cell r="B3151" t="str">
            <v>Horeca Smart</v>
          </cell>
          <cell r="C3151" t="str">
            <v xml:space="preserve">عملاء كاش </v>
          </cell>
          <cell r="D3151" t="str">
            <v>Lames Magdy</v>
          </cell>
        </row>
        <row r="3152">
          <cell r="A3152" t="str">
            <v>مطعم طازه</v>
          </cell>
          <cell r="B3152" t="str">
            <v>Horeca Smart</v>
          </cell>
          <cell r="C3152" t="str">
            <v xml:space="preserve">عملاء كاش </v>
          </cell>
          <cell r="D3152" t="str">
            <v>Naden Amgad</v>
          </cell>
        </row>
        <row r="3153">
          <cell r="A3153" t="str">
            <v>مطعم طربوش أفندي</v>
          </cell>
          <cell r="B3153" t="str">
            <v>Horeca Smart</v>
          </cell>
          <cell r="C3153" t="str">
            <v xml:space="preserve">عملاء كاش </v>
          </cell>
          <cell r="D3153" t="str">
            <v>Donia Khaled</v>
          </cell>
        </row>
        <row r="3154">
          <cell r="A3154" t="str">
            <v>مطعم طيبات الشام</v>
          </cell>
          <cell r="B3154" t="str">
            <v>Horeca Smart</v>
          </cell>
          <cell r="C3154" t="str">
            <v xml:space="preserve">عملاء كاش </v>
          </cell>
          <cell r="D3154" t="str">
            <v>Lames Magdy</v>
          </cell>
        </row>
        <row r="3155">
          <cell r="A3155" t="str">
            <v>مطعم ع الرايق</v>
          </cell>
          <cell r="B3155" t="str">
            <v>Horeca Smart</v>
          </cell>
          <cell r="C3155" t="str">
            <v xml:space="preserve">عملاء كاش </v>
          </cell>
          <cell r="D3155" t="str">
            <v>Reham Maher</v>
          </cell>
        </row>
        <row r="3156">
          <cell r="A3156" t="str">
            <v>مطعم عبده الطيب</v>
          </cell>
          <cell r="B3156" t="str">
            <v>Horeca Smart</v>
          </cell>
          <cell r="C3156" t="str">
            <v xml:space="preserve">عملاء كاش </v>
          </cell>
          <cell r="D3156" t="str">
            <v>Lames Magdy</v>
          </cell>
        </row>
        <row r="3157">
          <cell r="A3157" t="str">
            <v>مطعم عبيد الفلاح</v>
          </cell>
          <cell r="B3157" t="str">
            <v>Horeca Smart</v>
          </cell>
          <cell r="C3157" t="str">
            <v xml:space="preserve">عملاء كاش </v>
          </cell>
          <cell r="D3157" t="str">
            <v>Reham Maher</v>
          </cell>
        </row>
        <row r="3158">
          <cell r="A3158" t="str">
            <v>مطعم عزومة</v>
          </cell>
          <cell r="B3158" t="str">
            <v>Horeca Smart</v>
          </cell>
          <cell r="C3158" t="str">
            <v xml:space="preserve">عملاء كاش </v>
          </cell>
          <cell r="D3158" t="str">
            <v>Lames Magdy</v>
          </cell>
        </row>
        <row r="3159">
          <cell r="A3159" t="str">
            <v>مطعم عض عض</v>
          </cell>
          <cell r="B3159" t="str">
            <v>Horeca Smart</v>
          </cell>
          <cell r="C3159" t="str">
            <v xml:space="preserve">عملاء كاش </v>
          </cell>
          <cell r="D3159" t="str">
            <v>Lames Magdy</v>
          </cell>
        </row>
        <row r="3160">
          <cell r="A3160" t="str">
            <v>مطعم علي كيفك</v>
          </cell>
          <cell r="B3160" t="str">
            <v>Horeca Smart</v>
          </cell>
          <cell r="C3160" t="str">
            <v xml:space="preserve">عملاء كاش </v>
          </cell>
          <cell r="D3160" t="str">
            <v>Reham Maher</v>
          </cell>
        </row>
        <row r="3161">
          <cell r="A3161" t="str">
            <v>مطعم عوافى</v>
          </cell>
          <cell r="B3161" t="str">
            <v>Horeca Smart</v>
          </cell>
          <cell r="C3161" t="str">
            <v xml:space="preserve">عملاء كاش </v>
          </cell>
          <cell r="D3161" t="str">
            <v>Naden Amgad</v>
          </cell>
        </row>
        <row r="3162">
          <cell r="A3162" t="str">
            <v>مطعم فارس للمأكولات البحرية - التجمع</v>
          </cell>
          <cell r="B3162" t="str">
            <v>Horeca Smart</v>
          </cell>
          <cell r="C3162" t="str">
            <v xml:space="preserve">عملاء كاش </v>
          </cell>
          <cell r="D3162" t="str">
            <v>Lames Magdy</v>
          </cell>
        </row>
        <row r="3163">
          <cell r="A3163" t="str">
            <v>مطعم فارس للمأكولات البحرية - المخزن</v>
          </cell>
          <cell r="B3163" t="str">
            <v>Horeca Smart</v>
          </cell>
          <cell r="C3163" t="str">
            <v xml:space="preserve">عملاء كاش </v>
          </cell>
          <cell r="D3163" t="str">
            <v>Reham Maher</v>
          </cell>
        </row>
        <row r="3164">
          <cell r="A3164" t="str">
            <v>مطعم فارس للمأكولات البحرية _مصر الجديده</v>
          </cell>
          <cell r="B3164" t="str">
            <v>Horeca Smart</v>
          </cell>
          <cell r="C3164" t="str">
            <v xml:space="preserve">عملاء كاش </v>
          </cell>
          <cell r="D3164" t="str">
            <v>Lames Magdy</v>
          </cell>
        </row>
        <row r="3165">
          <cell r="A3165" t="str">
            <v>مطعم فاميلي</v>
          </cell>
          <cell r="B3165" t="str">
            <v>Horeca Smart</v>
          </cell>
          <cell r="C3165" t="str">
            <v xml:space="preserve">عملاء كاش </v>
          </cell>
          <cell r="D3165" t="str">
            <v>Lames Magdy</v>
          </cell>
        </row>
        <row r="3166">
          <cell r="A3166" t="str">
            <v>مطعم فحم</v>
          </cell>
          <cell r="B3166" t="str">
            <v>Horeca Smart</v>
          </cell>
          <cell r="C3166" t="str">
            <v xml:space="preserve">عملاء كاش </v>
          </cell>
          <cell r="D3166" t="str">
            <v>Reham Maher</v>
          </cell>
        </row>
        <row r="3167">
          <cell r="A3167" t="str">
            <v>مطعم فريدة - مصر الجديدة</v>
          </cell>
          <cell r="B3167" t="str">
            <v>Horeca Smart</v>
          </cell>
          <cell r="C3167" t="str">
            <v xml:space="preserve">عملاء كاش </v>
          </cell>
          <cell r="D3167" t="str">
            <v>Lames Magdy</v>
          </cell>
        </row>
        <row r="3168">
          <cell r="A3168" t="str">
            <v>مطعم فريده عادل</v>
          </cell>
          <cell r="B3168" t="str">
            <v>Horeca Smart</v>
          </cell>
          <cell r="C3168" t="str">
            <v xml:space="preserve">عملاء كاش </v>
          </cell>
          <cell r="D3168" t="str">
            <v>Lames Magdy</v>
          </cell>
        </row>
        <row r="3169">
          <cell r="A3169" t="str">
            <v>مطعم فريده(مدينة نصر)</v>
          </cell>
          <cell r="B3169" t="str">
            <v>Horeca Smart</v>
          </cell>
          <cell r="C3169" t="str">
            <v xml:space="preserve">عملاء كاش </v>
          </cell>
          <cell r="D3169" t="str">
            <v>Reham Maher</v>
          </cell>
        </row>
        <row r="3170">
          <cell r="A3170" t="str">
            <v>مطعم فريشكا</v>
          </cell>
          <cell r="B3170" t="str">
            <v>Horeca Smart</v>
          </cell>
          <cell r="C3170" t="str">
            <v xml:space="preserve">عملاء كاش </v>
          </cell>
          <cell r="D3170" t="str">
            <v>Lames Magdy</v>
          </cell>
        </row>
        <row r="3171">
          <cell r="A3171" t="str">
            <v>مطعم فسفور</v>
          </cell>
          <cell r="B3171" t="str">
            <v>Horeca Smart</v>
          </cell>
          <cell r="C3171" t="str">
            <v xml:space="preserve">عملاء كاش </v>
          </cell>
          <cell r="D3171" t="str">
            <v>Reham Maher</v>
          </cell>
        </row>
        <row r="3172">
          <cell r="A3172" t="str">
            <v>مطعم فلسطينكو</v>
          </cell>
          <cell r="B3172" t="str">
            <v>Horeca Smart</v>
          </cell>
          <cell r="C3172" t="str">
            <v xml:space="preserve">عملاء كاش </v>
          </cell>
          <cell r="D3172" t="str">
            <v>Reham Maher</v>
          </cell>
        </row>
        <row r="3173">
          <cell r="A3173" t="str">
            <v>مطعم فلوكي برجر-مدينة بدر</v>
          </cell>
          <cell r="B3173" t="str">
            <v>Horeca Smart</v>
          </cell>
          <cell r="C3173" t="str">
            <v xml:space="preserve">عملاء كاش </v>
          </cell>
          <cell r="D3173" t="str">
            <v>Donia Khaled</v>
          </cell>
        </row>
        <row r="3174">
          <cell r="A3174" t="str">
            <v>مطعم فيش آند شريمبس</v>
          </cell>
          <cell r="B3174" t="str">
            <v>Horeca Smart</v>
          </cell>
          <cell r="C3174" t="str">
            <v xml:space="preserve">عملاء كاش </v>
          </cell>
          <cell r="D3174" t="str">
            <v>Lames Magdy</v>
          </cell>
        </row>
        <row r="3175">
          <cell r="A3175" t="str">
            <v>مطعم فيش فيش كاريو</v>
          </cell>
          <cell r="B3175" t="str">
            <v>Horeca Smart</v>
          </cell>
          <cell r="C3175" t="str">
            <v xml:space="preserve">عملاء كاش </v>
          </cell>
          <cell r="D3175" t="str">
            <v>Lames Magdy</v>
          </cell>
        </row>
        <row r="3176">
          <cell r="A3176" t="str">
            <v>مطعم فيلادلفيا</v>
          </cell>
          <cell r="B3176" t="str">
            <v>Horeca Smart</v>
          </cell>
          <cell r="C3176" t="str">
            <v xml:space="preserve">عملاء كاش </v>
          </cell>
          <cell r="D3176" t="str">
            <v>Reham Maher</v>
          </cell>
        </row>
        <row r="3177">
          <cell r="A3177" t="str">
            <v>مطعم قشطه</v>
          </cell>
          <cell r="B3177" t="str">
            <v>Horeca Smart</v>
          </cell>
          <cell r="C3177" t="str">
            <v xml:space="preserve">عملاء كاش </v>
          </cell>
          <cell r="D3177" t="str">
            <v>Lames Magdy</v>
          </cell>
        </row>
        <row r="3178">
          <cell r="A3178" t="str">
            <v>مطعم قصر الطواجن</v>
          </cell>
          <cell r="B3178" t="str">
            <v>Horeca Smart</v>
          </cell>
          <cell r="C3178" t="str">
            <v xml:space="preserve">عملاء كاش </v>
          </cell>
          <cell r="D3178" t="str">
            <v>Naden Amgad</v>
          </cell>
        </row>
        <row r="3179">
          <cell r="A3179" t="str">
            <v>مطعم كاستيلو</v>
          </cell>
          <cell r="B3179" t="str">
            <v>Horeca Smart</v>
          </cell>
          <cell r="C3179" t="str">
            <v xml:space="preserve">عملاء كاش </v>
          </cell>
          <cell r="D3179" t="str">
            <v>Lames Magdy</v>
          </cell>
        </row>
        <row r="3180">
          <cell r="A3180" t="str">
            <v>مطعم كاستيلو - مخزن</v>
          </cell>
          <cell r="B3180" t="str">
            <v>Horeca Smart</v>
          </cell>
          <cell r="C3180" t="str">
            <v xml:space="preserve">عملاء كاش </v>
          </cell>
          <cell r="D3180" t="str">
            <v>Lames Magdy</v>
          </cell>
        </row>
        <row r="3181">
          <cell r="A3181" t="str">
            <v>مطعم كالتيفوس</v>
          </cell>
          <cell r="B3181" t="str">
            <v>MAS</v>
          </cell>
          <cell r="C3181" t="str">
            <v xml:space="preserve">عملاء كاش </v>
          </cell>
          <cell r="D3181" t="str">
            <v>Haddil Haron</v>
          </cell>
        </row>
        <row r="3182">
          <cell r="A3182" t="str">
            <v>مطعم كبشة</v>
          </cell>
          <cell r="B3182" t="str">
            <v>Horeca Smart</v>
          </cell>
          <cell r="C3182" t="str">
            <v xml:space="preserve">عملاء كاش </v>
          </cell>
          <cell r="D3182" t="str">
            <v>Lames Magdy</v>
          </cell>
        </row>
        <row r="3183">
          <cell r="A3183" t="str">
            <v>مطعم كرم السورى</v>
          </cell>
          <cell r="B3183" t="str">
            <v>Horeca Smart</v>
          </cell>
          <cell r="C3183" t="str">
            <v xml:space="preserve">عملاء كاش </v>
          </cell>
          <cell r="D3183" t="str">
            <v>Naden Amgad</v>
          </cell>
        </row>
        <row r="3184">
          <cell r="A3184" t="str">
            <v>مطعم كلاكس</v>
          </cell>
          <cell r="B3184" t="str">
            <v>Horeca Smart</v>
          </cell>
          <cell r="C3184" t="str">
            <v xml:space="preserve">عملاء كاش </v>
          </cell>
          <cell r="D3184" t="str">
            <v>Lames Magdy</v>
          </cell>
        </row>
        <row r="3185">
          <cell r="A3185" t="str">
            <v>مطعم كله طازه</v>
          </cell>
          <cell r="B3185" t="str">
            <v>Horeca Smart</v>
          </cell>
          <cell r="C3185" t="str">
            <v xml:space="preserve">عملاء كاش </v>
          </cell>
          <cell r="D3185" t="str">
            <v>Naden Amgad</v>
          </cell>
        </row>
        <row r="3186">
          <cell r="A3186" t="str">
            <v>مطعم كورتاديتو</v>
          </cell>
          <cell r="B3186" t="str">
            <v>Horeca Smart</v>
          </cell>
          <cell r="C3186" t="str">
            <v xml:space="preserve">عملاء كاش </v>
          </cell>
          <cell r="D3186" t="str">
            <v>Mona Mohamed</v>
          </cell>
        </row>
        <row r="3187">
          <cell r="A3187" t="str">
            <v>مطعم كوفال</v>
          </cell>
          <cell r="B3187" t="str">
            <v>Horeca Smart</v>
          </cell>
          <cell r="C3187" t="str">
            <v xml:space="preserve">عملاء كاش </v>
          </cell>
          <cell r="D3187" t="str">
            <v>Donia Khaled</v>
          </cell>
        </row>
        <row r="3188">
          <cell r="A3188" t="str">
            <v>مطعم كولناري</v>
          </cell>
          <cell r="B3188" t="str">
            <v>Horeca Smart</v>
          </cell>
          <cell r="C3188" t="str">
            <v xml:space="preserve">عملاء كاش </v>
          </cell>
          <cell r="D3188" t="str">
            <v>Lames Magdy</v>
          </cell>
        </row>
        <row r="3189">
          <cell r="A3189" t="str">
            <v>مطعم كيرو</v>
          </cell>
          <cell r="B3189" t="str">
            <v>Horeca Smart</v>
          </cell>
          <cell r="C3189" t="str">
            <v xml:space="preserve">عملاء كاش </v>
          </cell>
          <cell r="D3189" t="str">
            <v>Lames Magdy</v>
          </cell>
        </row>
        <row r="3190">
          <cell r="A3190" t="str">
            <v>مطعم لافندر, مطعم لافندر, الزمالك</v>
          </cell>
          <cell r="B3190" t="str">
            <v>Horeca Smart</v>
          </cell>
          <cell r="C3190" t="str">
            <v xml:space="preserve">عملاء كاش </v>
          </cell>
          <cell r="D3190" t="str">
            <v>Lames Magdy</v>
          </cell>
        </row>
        <row r="3191">
          <cell r="A3191" t="str">
            <v>مطعم لاكوكانا</v>
          </cell>
          <cell r="B3191" t="str">
            <v>Horeca Smart</v>
          </cell>
          <cell r="C3191" t="str">
            <v xml:space="preserve">عملاء كاش </v>
          </cell>
          <cell r="D3191" t="str">
            <v>Lames Magdy</v>
          </cell>
        </row>
        <row r="3192">
          <cell r="A3192" t="str">
            <v>مطعم لامور</v>
          </cell>
          <cell r="B3192" t="str">
            <v>Horeca Smart</v>
          </cell>
          <cell r="C3192" t="str">
            <v xml:space="preserve">عملاء كاش </v>
          </cell>
          <cell r="D3192" t="str">
            <v>Lames Magdy</v>
          </cell>
        </row>
        <row r="3193">
          <cell r="A3193" t="str">
            <v>مطعم لذيذ</v>
          </cell>
          <cell r="B3193" t="str">
            <v>Horeca Smart</v>
          </cell>
          <cell r="C3193" t="str">
            <v xml:space="preserve">عملاء كاش </v>
          </cell>
          <cell r="D3193" t="str">
            <v>Lames Magdy</v>
          </cell>
        </row>
        <row r="3194">
          <cell r="A3194" t="str">
            <v>مطعم لقمه وشفطة</v>
          </cell>
          <cell r="B3194" t="str">
            <v>Horeca Smart</v>
          </cell>
          <cell r="C3194" t="str">
            <v xml:space="preserve">عملاء كاش </v>
          </cell>
          <cell r="D3194" t="str">
            <v>Lames Magdy</v>
          </cell>
        </row>
        <row r="3195">
          <cell r="A3195" t="str">
            <v>مطعم لودج</v>
          </cell>
          <cell r="B3195" t="str">
            <v>Horeca Smart</v>
          </cell>
          <cell r="C3195" t="str">
            <v xml:space="preserve">عملاء كاش </v>
          </cell>
          <cell r="D3195" t="str">
            <v>Lames Magdy</v>
          </cell>
        </row>
        <row r="3196">
          <cell r="A3196" t="str">
            <v>مطعم ماكوك</v>
          </cell>
          <cell r="B3196" t="str">
            <v>Horeca Smart</v>
          </cell>
          <cell r="C3196" t="str">
            <v xml:space="preserve">عملاء كاش </v>
          </cell>
          <cell r="D3196" t="str">
            <v>Lames Magdy</v>
          </cell>
        </row>
        <row r="3197">
          <cell r="A3197" t="str">
            <v>مطعم ماندرينو</v>
          </cell>
          <cell r="B3197" t="str">
            <v>Horeca Smart</v>
          </cell>
          <cell r="C3197" t="str">
            <v xml:space="preserve">عملاء كاش </v>
          </cell>
          <cell r="D3197" t="str">
            <v>Lames Magdy</v>
          </cell>
        </row>
        <row r="3198">
          <cell r="A3198" t="str">
            <v>مطعم محطة ساندوتشات</v>
          </cell>
          <cell r="B3198" t="str">
            <v>Horeca Smart</v>
          </cell>
          <cell r="C3198" t="str">
            <v xml:space="preserve">عملاء كاش </v>
          </cell>
          <cell r="D3198" t="str">
            <v>Reham Maher</v>
          </cell>
        </row>
        <row r="3199">
          <cell r="A3199" t="str">
            <v>مطعم منطقة أكل</v>
          </cell>
          <cell r="B3199" t="str">
            <v>Horeca Smart</v>
          </cell>
          <cell r="C3199" t="str">
            <v xml:space="preserve">عملاء كاش </v>
          </cell>
          <cell r="D3199" t="str">
            <v>Naden Amgad</v>
          </cell>
        </row>
        <row r="3200">
          <cell r="A3200" t="str">
            <v>مطعم ميما</v>
          </cell>
          <cell r="B3200" t="str">
            <v>Horeca Smart</v>
          </cell>
          <cell r="C3200" t="str">
            <v xml:space="preserve">عملاء كاش </v>
          </cell>
          <cell r="D3200" t="str">
            <v>Lames Magdy</v>
          </cell>
        </row>
        <row r="3201">
          <cell r="A3201" t="str">
            <v>مطعم نعمه</v>
          </cell>
          <cell r="B3201" t="str">
            <v>Horeca Smart</v>
          </cell>
          <cell r="C3201" t="str">
            <v xml:space="preserve">عملاء كاش </v>
          </cell>
          <cell r="D3201" t="str">
            <v>Lames Magdy</v>
          </cell>
        </row>
        <row r="3202">
          <cell r="A3202" t="str">
            <v>مطعم نعومي</v>
          </cell>
          <cell r="B3202" t="str">
            <v>Horeca Smart</v>
          </cell>
          <cell r="C3202" t="str">
            <v xml:space="preserve">عملاء كاش </v>
          </cell>
          <cell r="D3202" t="str">
            <v>Lames Magdy</v>
          </cell>
        </row>
        <row r="3203">
          <cell r="A3203" t="str">
            <v>مطعم نوح</v>
          </cell>
          <cell r="B3203" t="str">
            <v>Horeca Smart</v>
          </cell>
          <cell r="C3203" t="str">
            <v xml:space="preserve">عملاء كاش </v>
          </cell>
          <cell r="D3203" t="str">
            <v>Lames Magdy</v>
          </cell>
        </row>
        <row r="3204">
          <cell r="A3204" t="str">
            <v>مطعم نوماد</v>
          </cell>
          <cell r="B3204" t="str">
            <v>Horeca Smart</v>
          </cell>
          <cell r="C3204" t="str">
            <v xml:space="preserve">عملاء كاش </v>
          </cell>
          <cell r="D3204" t="str">
            <v>Naden Amgad</v>
          </cell>
        </row>
        <row r="3205">
          <cell r="A3205" t="str">
            <v>مطعم هاي بروست</v>
          </cell>
          <cell r="B3205" t="str">
            <v>Horeca Smart</v>
          </cell>
          <cell r="C3205" t="str">
            <v xml:space="preserve">عملاء كاش </v>
          </cell>
          <cell r="D3205" t="str">
            <v>Lames Magdy</v>
          </cell>
        </row>
        <row r="3206">
          <cell r="A3206" t="str">
            <v>مطعم همام</v>
          </cell>
          <cell r="B3206" t="str">
            <v>Horeca Smart</v>
          </cell>
          <cell r="C3206" t="str">
            <v xml:space="preserve">عملاء كاش </v>
          </cell>
          <cell r="D3206" t="str">
            <v>Lames Magdy</v>
          </cell>
        </row>
        <row r="3207">
          <cell r="A3207" t="str">
            <v>مطعم هيبو للمأكولات الصينية, مطعم هيبو للمأكولات الصينية, حدائق القبة</v>
          </cell>
          <cell r="B3207" t="str">
            <v>Horeca Smart</v>
          </cell>
          <cell r="C3207" t="str">
            <v xml:space="preserve">عملاء كاش </v>
          </cell>
          <cell r="D3207" t="str">
            <v>Donia Khaled</v>
          </cell>
        </row>
        <row r="3208">
          <cell r="A3208" t="str">
            <v>مطعم هيردز</v>
          </cell>
          <cell r="B3208" t="str">
            <v>Horeca Smart</v>
          </cell>
          <cell r="C3208" t="str">
            <v xml:space="preserve">عملاء كاش </v>
          </cell>
          <cell r="D3208" t="str">
            <v>Naden Amgad</v>
          </cell>
        </row>
        <row r="3209">
          <cell r="A3209" t="str">
            <v>مطعم ورد السوري</v>
          </cell>
          <cell r="B3209" t="str">
            <v>Horeca Smart</v>
          </cell>
          <cell r="C3209" t="str">
            <v xml:space="preserve">عملاء كاش </v>
          </cell>
          <cell r="D3209" t="str">
            <v>Lames Magdy</v>
          </cell>
        </row>
        <row r="3210">
          <cell r="A3210" t="str">
            <v>مطعم وكافيه الافندى</v>
          </cell>
          <cell r="B3210" t="str">
            <v>Horeca Smart</v>
          </cell>
          <cell r="C3210" t="str">
            <v xml:space="preserve">عملاء كاش </v>
          </cell>
          <cell r="D3210" t="str">
            <v>Lames Magdy</v>
          </cell>
        </row>
        <row r="3211">
          <cell r="A3211" t="str">
            <v>مطعم وناس</v>
          </cell>
          <cell r="B3211" t="str">
            <v>Horeca Smart</v>
          </cell>
          <cell r="C3211" t="str">
            <v xml:space="preserve">عملاء كاش </v>
          </cell>
          <cell r="D3211" t="str">
            <v>Naden Amgad</v>
          </cell>
        </row>
        <row r="3212">
          <cell r="A3212" t="str">
            <v>مطعم ونسه</v>
          </cell>
          <cell r="B3212" t="str">
            <v>Horeca Smart</v>
          </cell>
          <cell r="C3212" t="str">
            <v xml:space="preserve">عملاء كاش </v>
          </cell>
          <cell r="D3212" t="str">
            <v>Lames Magdy</v>
          </cell>
        </row>
        <row r="3213">
          <cell r="A3213" t="str">
            <v>مطعم ووك اند ووك</v>
          </cell>
          <cell r="B3213" t="str">
            <v>MAS</v>
          </cell>
          <cell r="C3213" t="str">
            <v xml:space="preserve">عملاء كاش </v>
          </cell>
          <cell r="D3213" t="str">
            <v>Lames Magdy</v>
          </cell>
        </row>
        <row r="3214">
          <cell r="A3214" t="str">
            <v>معادي داينرز</v>
          </cell>
          <cell r="B3214" t="str">
            <v>Horeca Smart</v>
          </cell>
          <cell r="C3214" t="str">
            <v xml:space="preserve">عملاء كاش </v>
          </cell>
          <cell r="D3214" t="str">
            <v>Donia Khaled</v>
          </cell>
        </row>
        <row r="3215">
          <cell r="A3215" t="str">
            <v>مكاني</v>
          </cell>
          <cell r="B3215" t="str">
            <v>Horeca Smart</v>
          </cell>
          <cell r="C3215" t="str">
            <v xml:space="preserve">عملاء كاش </v>
          </cell>
          <cell r="D3215" t="str">
            <v>Lames Magdy</v>
          </cell>
        </row>
        <row r="3216">
          <cell r="A3216" t="str">
            <v>مكتبة AK (المنيل) - Co Working Space</v>
          </cell>
          <cell r="B3216" t="str">
            <v>Horeca Smart</v>
          </cell>
          <cell r="C3216" t="str">
            <v xml:space="preserve">عملاء كاش </v>
          </cell>
          <cell r="D3216" t="str">
            <v>Lames Magdy</v>
          </cell>
        </row>
        <row r="3217">
          <cell r="A3217" t="str">
            <v>مكرونة الانسجام</v>
          </cell>
          <cell r="B3217" t="str">
            <v>Horeca Smart</v>
          </cell>
          <cell r="C3217" t="str">
            <v xml:space="preserve">عملاء كاش </v>
          </cell>
          <cell r="D3217" t="str">
            <v>Naden Amgad</v>
          </cell>
        </row>
        <row r="3218">
          <cell r="A3218" t="str">
            <v>مكرونه الزعيم</v>
          </cell>
          <cell r="B3218" t="str">
            <v>Horeca Smart</v>
          </cell>
          <cell r="C3218" t="str">
            <v xml:space="preserve">عملاء كاش </v>
          </cell>
          <cell r="D3218" t="str">
            <v>Lames Magdy</v>
          </cell>
        </row>
        <row r="3219">
          <cell r="A3219" t="str">
            <v>مكرونه الشيخ احمد</v>
          </cell>
          <cell r="B3219" t="str">
            <v>Horeca Smart</v>
          </cell>
          <cell r="C3219" t="str">
            <v xml:space="preserve">عملاء كاش </v>
          </cell>
          <cell r="D3219" t="str">
            <v>Mona Mohamed</v>
          </cell>
        </row>
        <row r="3220">
          <cell r="A3220" t="str">
            <v>مكسيم مصر - المعادى</v>
          </cell>
          <cell r="B3220" t="str">
            <v>Horeca Smart</v>
          </cell>
          <cell r="C3220" t="str">
            <v xml:space="preserve">عملاء كاش </v>
          </cell>
          <cell r="D3220" t="str">
            <v>Lames Magdy</v>
          </cell>
        </row>
        <row r="3221">
          <cell r="A3221" t="str">
            <v>ملوك الوافل</v>
          </cell>
          <cell r="B3221" t="str">
            <v>Horeca Smart</v>
          </cell>
          <cell r="C3221" t="str">
            <v xml:space="preserve">عملاء كاش </v>
          </cell>
          <cell r="D3221" t="str">
            <v>Naden Amgad</v>
          </cell>
        </row>
        <row r="3222">
          <cell r="A3222" t="str">
            <v>مندي قصر السلطان</v>
          </cell>
          <cell r="B3222" t="str">
            <v>Horeca Smart</v>
          </cell>
          <cell r="C3222" t="str">
            <v xml:space="preserve">عملاء كاش </v>
          </cell>
          <cell r="D3222" t="str">
            <v>Lames Magdy</v>
          </cell>
        </row>
        <row r="3223">
          <cell r="A3223" t="str">
            <v>منياوى درينك</v>
          </cell>
          <cell r="B3223" t="str">
            <v>Horeca Smart</v>
          </cell>
          <cell r="C3223" t="str">
            <v xml:space="preserve">عملاء كاش </v>
          </cell>
          <cell r="D3223" t="str">
            <v>Lames Magdy</v>
          </cell>
        </row>
        <row r="3224">
          <cell r="A3224" t="str">
            <v>مو سوشي, مو سوشي, زايد</v>
          </cell>
          <cell r="B3224" t="str">
            <v>Horeca Smart</v>
          </cell>
          <cell r="C3224" t="str">
            <v xml:space="preserve">عملاء كاش </v>
          </cell>
          <cell r="D3224" t="str">
            <v>Naden Amgad</v>
          </cell>
        </row>
        <row r="3225">
          <cell r="A3225" t="str">
            <v>مورد - أرما</v>
          </cell>
          <cell r="B3225" t="str">
            <v>MAS</v>
          </cell>
          <cell r="C3225" t="str">
            <v xml:space="preserve">موردين اجل </v>
          </cell>
          <cell r="D3225" t="str">
            <v>Amgad Ahmed</v>
          </cell>
        </row>
        <row r="3226">
          <cell r="A3226" t="str">
            <v>مورد - الهدى</v>
          </cell>
          <cell r="C3226" t="str">
            <v>موردين كاش</v>
          </cell>
          <cell r="D3226" t="str">
            <v>Amgad Ahmed</v>
          </cell>
        </row>
        <row r="3227">
          <cell r="A3227" t="str">
            <v>مورد - محمد رضا</v>
          </cell>
          <cell r="C3227" t="str">
            <v>موردين كاش</v>
          </cell>
          <cell r="D3227" t="str">
            <v>Amgad Ahmed</v>
          </cell>
        </row>
        <row r="3228">
          <cell r="A3228" t="str">
            <v>موسى سي فود</v>
          </cell>
          <cell r="B3228" t="str">
            <v>Horeca Smart</v>
          </cell>
          <cell r="C3228" t="str">
            <v xml:space="preserve">عملاء كاش </v>
          </cell>
          <cell r="D3228" t="str">
            <v>Lames Magdy</v>
          </cell>
        </row>
        <row r="3229">
          <cell r="A3229" t="str">
            <v>موكا بيكرى</v>
          </cell>
          <cell r="B3229" t="str">
            <v>Horeca Smart</v>
          </cell>
          <cell r="C3229" t="str">
            <v xml:space="preserve">عملاء كاش </v>
          </cell>
          <cell r="D3229" t="str">
            <v>Lames Magdy</v>
          </cell>
        </row>
        <row r="3230">
          <cell r="A3230" t="str">
            <v>موكاى</v>
          </cell>
          <cell r="B3230" t="str">
            <v>Horeca Smart</v>
          </cell>
          <cell r="C3230" t="str">
            <v xml:space="preserve">عملاء كاش </v>
          </cell>
          <cell r="D3230" t="str">
            <v>Donia Khaled</v>
          </cell>
        </row>
        <row r="3231">
          <cell r="A3231" t="str">
            <v>مولتو بيتزا</v>
          </cell>
          <cell r="B3231" t="str">
            <v>Horeca Smart</v>
          </cell>
          <cell r="C3231" t="str">
            <v xml:space="preserve">عملاء كاش </v>
          </cell>
          <cell r="D3231" t="str">
            <v>Lames Magdy</v>
          </cell>
        </row>
        <row r="3232">
          <cell r="A3232" t="str">
            <v>مولوتوف</v>
          </cell>
          <cell r="B3232" t="str">
            <v>Horeca Smart</v>
          </cell>
          <cell r="C3232" t="str">
            <v xml:space="preserve">عملاء كاش </v>
          </cell>
          <cell r="D3232" t="str">
            <v>Lames Magdy</v>
          </cell>
        </row>
        <row r="3233">
          <cell r="A3233" t="str">
            <v>مولوتوف- القناطر</v>
          </cell>
          <cell r="B3233" t="str">
            <v>Horeca Smart</v>
          </cell>
          <cell r="C3233" t="str">
            <v xml:space="preserve">عملاء كاش </v>
          </cell>
          <cell r="D3233" t="str">
            <v>Reham Maher</v>
          </cell>
        </row>
        <row r="3234">
          <cell r="A3234" t="str">
            <v>مونديال سويت</v>
          </cell>
          <cell r="B3234" t="str">
            <v>Horeca Smart</v>
          </cell>
          <cell r="C3234" t="str">
            <v xml:space="preserve">عملاء كاش </v>
          </cell>
          <cell r="D3234" t="str">
            <v>Lames Magdy</v>
          </cell>
        </row>
        <row r="3235">
          <cell r="A3235" t="str">
            <v>ميت بارتي</v>
          </cell>
          <cell r="B3235" t="str">
            <v>Horeca Smart</v>
          </cell>
          <cell r="C3235" t="str">
            <v xml:space="preserve">عملاء كاش </v>
          </cell>
          <cell r="D3235" t="str">
            <v>Lames Magdy</v>
          </cell>
        </row>
        <row r="3236">
          <cell r="A3236" t="str">
            <v>ميراج للتوريدات</v>
          </cell>
          <cell r="B3236" t="str">
            <v>Horeca Smart</v>
          </cell>
          <cell r="C3236" t="str">
            <v xml:space="preserve">عملاء كاش </v>
          </cell>
          <cell r="D3236" t="str">
            <v>Naden Amgad</v>
          </cell>
        </row>
        <row r="3237">
          <cell r="A3237" t="str">
            <v>ميركادو</v>
          </cell>
          <cell r="B3237" t="str">
            <v>Horeca Smart</v>
          </cell>
          <cell r="C3237" t="str">
            <v xml:space="preserve">عملاء كاش </v>
          </cell>
          <cell r="D3237" t="str">
            <v>Mona Mohamed</v>
          </cell>
        </row>
        <row r="3238">
          <cell r="A3238" t="str">
            <v>ميكاتو للتجارة والتوزيع</v>
          </cell>
          <cell r="B3238" t="str">
            <v>Horeca Smart</v>
          </cell>
          <cell r="C3238" t="str">
            <v xml:space="preserve">عملاء كاش </v>
          </cell>
          <cell r="D3238" t="str">
            <v>Mona Mohamed</v>
          </cell>
        </row>
        <row r="3239">
          <cell r="A3239" t="str">
            <v>ميكس فود</v>
          </cell>
          <cell r="B3239" t="str">
            <v>Horeca Smart</v>
          </cell>
          <cell r="C3239" t="str">
            <v xml:space="preserve">عملاء كاش </v>
          </cell>
          <cell r="D3239" t="str">
            <v>Lames Magdy</v>
          </cell>
        </row>
        <row r="3240">
          <cell r="A3240" t="str">
            <v>ميكسيكانو</v>
          </cell>
          <cell r="B3240" t="str">
            <v>Horeca Smart</v>
          </cell>
          <cell r="C3240" t="str">
            <v xml:space="preserve">عملاء كاش </v>
          </cell>
          <cell r="D3240" t="str">
            <v>Mona Mohamed</v>
          </cell>
        </row>
        <row r="3241">
          <cell r="A3241" t="str">
            <v>ميمكو للمشروبات والاغذية ( سبيرو سباتس )</v>
          </cell>
          <cell r="C3241" t="str">
            <v>موردين كاش</v>
          </cell>
          <cell r="D3241" t="str">
            <v>Amgad Ahmed</v>
          </cell>
        </row>
        <row r="3242">
          <cell r="A3242" t="str">
            <v>نادي الجزيرة الرياضى ( الزمالك )</v>
          </cell>
          <cell r="B3242" t="str">
            <v>Horeca Smart</v>
          </cell>
          <cell r="C3242" t="str">
            <v xml:space="preserve">عملاء كاش </v>
          </cell>
          <cell r="D3242" t="str">
            <v>Lames Magdy</v>
          </cell>
        </row>
        <row r="3243">
          <cell r="A3243" t="str">
            <v>نادي الحرية - نادية</v>
          </cell>
          <cell r="B3243" t="str">
            <v>Horeca Smart</v>
          </cell>
          <cell r="C3243" t="str">
            <v xml:space="preserve">عملاء كاش </v>
          </cell>
          <cell r="D3243" t="str">
            <v>Lames Magdy</v>
          </cell>
        </row>
        <row r="3244">
          <cell r="A3244" t="str">
            <v>نادي الكرمه</v>
          </cell>
          <cell r="B3244" t="str">
            <v>Horeca Smart</v>
          </cell>
          <cell r="C3244" t="str">
            <v xml:space="preserve">عملاء كاش </v>
          </cell>
          <cell r="D3244" t="str">
            <v>Naden Amgad</v>
          </cell>
        </row>
        <row r="3245">
          <cell r="A3245" t="str">
            <v>نادي المعلمين</v>
          </cell>
          <cell r="B3245" t="str">
            <v>Horeca Smart</v>
          </cell>
          <cell r="C3245" t="str">
            <v xml:space="preserve">عملاء كاش </v>
          </cell>
          <cell r="D3245" t="str">
            <v>Lames Magdy</v>
          </cell>
        </row>
        <row r="3246">
          <cell r="A3246" t="str">
            <v>نايس السويس</v>
          </cell>
          <cell r="B3246" t="str">
            <v>Horeca Smart</v>
          </cell>
          <cell r="C3246" t="str">
            <v xml:space="preserve">عملاء كاش </v>
          </cell>
          <cell r="D3246" t="str">
            <v>Mona Mohamed</v>
          </cell>
        </row>
        <row r="3247">
          <cell r="A3247" t="str">
            <v>نايل مكسيم</v>
          </cell>
          <cell r="B3247" t="str">
            <v>Horeca Smart</v>
          </cell>
          <cell r="C3247" t="str">
            <v xml:space="preserve">عملاء كاش </v>
          </cell>
          <cell r="D3247" t="str">
            <v>Lames Magdy</v>
          </cell>
        </row>
        <row r="3248">
          <cell r="A3248" t="str">
            <v>نجع حمادى</v>
          </cell>
          <cell r="B3248" t="str">
            <v>Horeca Smart</v>
          </cell>
          <cell r="C3248" t="str">
            <v xml:space="preserve">عملاء كاش </v>
          </cell>
          <cell r="D3248" t="str">
            <v>Naden Amgad</v>
          </cell>
        </row>
        <row r="3249">
          <cell r="A3249" t="str">
            <v>نجم الشام</v>
          </cell>
          <cell r="B3249" t="str">
            <v>Horeca Smart</v>
          </cell>
          <cell r="C3249" t="str">
            <v xml:space="preserve">عملاء كاش </v>
          </cell>
          <cell r="D3249" t="str">
            <v>Lames Magdy</v>
          </cell>
        </row>
        <row r="3250">
          <cell r="A3250" t="str">
            <v>نسيم الشام</v>
          </cell>
          <cell r="B3250" t="str">
            <v>Horeca Smart</v>
          </cell>
          <cell r="C3250" t="str">
            <v xml:space="preserve">عملاء كاش </v>
          </cell>
          <cell r="D3250" t="str">
            <v>Lames Magdy</v>
          </cell>
        </row>
        <row r="3251">
          <cell r="A3251" t="str">
            <v>نعومة</v>
          </cell>
          <cell r="B3251" t="str">
            <v>Horeca Smart</v>
          </cell>
          <cell r="C3251" t="str">
            <v xml:space="preserve">عملاء كاش </v>
          </cell>
          <cell r="D3251" t="str">
            <v>Lames Magdy</v>
          </cell>
        </row>
        <row r="3252">
          <cell r="A3252" t="str">
            <v>نهرين للصناعات الغذائية - مورد</v>
          </cell>
          <cell r="B3252" t="str">
            <v>MAS</v>
          </cell>
          <cell r="C3252" t="str">
            <v>موردين كاش</v>
          </cell>
          <cell r="D3252" t="str">
            <v>Amgad Ahmed</v>
          </cell>
        </row>
        <row r="3253">
          <cell r="A3253" t="str">
            <v>نور الرحمن للتوريدات</v>
          </cell>
          <cell r="B3253" t="str">
            <v>Horeca Smart</v>
          </cell>
          <cell r="C3253" t="str">
            <v xml:space="preserve">عملاء كاش </v>
          </cell>
          <cell r="D3253" t="str">
            <v>Lames Magdy</v>
          </cell>
        </row>
        <row r="3254">
          <cell r="A3254" t="str">
            <v>نيو زهرة البستان</v>
          </cell>
          <cell r="B3254" t="str">
            <v>Horeca Smart</v>
          </cell>
          <cell r="C3254" t="str">
            <v xml:space="preserve">عملاء كاش </v>
          </cell>
          <cell r="D3254" t="str">
            <v>Lames Magdy</v>
          </cell>
        </row>
        <row r="3255">
          <cell r="A3255" t="str">
            <v>هابى فوود</v>
          </cell>
          <cell r="B3255" t="str">
            <v>Horeca Smart</v>
          </cell>
          <cell r="C3255" t="str">
            <v xml:space="preserve">عملاء كاش </v>
          </cell>
          <cell r="D3255" t="str">
            <v>Naden Amgad</v>
          </cell>
        </row>
        <row r="3256">
          <cell r="A3256" t="str">
            <v>هابياك</v>
          </cell>
          <cell r="B3256" t="str">
            <v>Horeca Smart</v>
          </cell>
          <cell r="C3256" t="str">
            <v xml:space="preserve">عملاء كاش </v>
          </cell>
          <cell r="D3256" t="str">
            <v>Lames Magdy</v>
          </cell>
        </row>
        <row r="3257">
          <cell r="A3257" t="str">
            <v>هاجر اونلاين</v>
          </cell>
          <cell r="B3257" t="str">
            <v>Horeca Smart</v>
          </cell>
          <cell r="C3257" t="str">
            <v xml:space="preserve">عملاء كاش </v>
          </cell>
          <cell r="D3257" t="str">
            <v>Lames Magdy</v>
          </cell>
        </row>
        <row r="3258">
          <cell r="A3258" t="str">
            <v>هانكولجي</v>
          </cell>
          <cell r="B3258" t="str">
            <v>Horeca Smart</v>
          </cell>
          <cell r="C3258" t="str">
            <v xml:space="preserve">عملاء كاش </v>
          </cell>
          <cell r="D3258" t="str">
            <v>Naden Amgad</v>
          </cell>
        </row>
        <row r="3259">
          <cell r="A3259" t="str">
            <v>هاوس فوود</v>
          </cell>
          <cell r="B3259" t="str">
            <v>Horeca Smart</v>
          </cell>
          <cell r="C3259" t="str">
            <v xml:space="preserve">عملاء كاش </v>
          </cell>
          <cell r="D3259" t="str">
            <v>Lames Magdy</v>
          </cell>
        </row>
        <row r="3260">
          <cell r="A3260" t="str">
            <v>هاي بروست- بدر</v>
          </cell>
          <cell r="B3260" t="str">
            <v>Horeca Smart</v>
          </cell>
          <cell r="C3260" t="str">
            <v xml:space="preserve">عملاء كاش </v>
          </cell>
          <cell r="D3260" t="str">
            <v>Lames Magdy</v>
          </cell>
        </row>
        <row r="3261">
          <cell r="A3261" t="str">
            <v>هدايا وعينات</v>
          </cell>
          <cell r="C3261" t="str">
            <v xml:space="preserve">عملاء كاش </v>
          </cell>
        </row>
        <row r="3262">
          <cell r="A3262" t="str">
            <v>هسبوتليتى</v>
          </cell>
          <cell r="B3262" t="str">
            <v>Horeca Smart</v>
          </cell>
          <cell r="C3262" t="str">
            <v xml:space="preserve">عملاء كاش </v>
          </cell>
          <cell r="D3262" t="str">
            <v>Donia Khaled</v>
          </cell>
        </row>
        <row r="3263">
          <cell r="A3263" t="str">
            <v>هلا بيروت</v>
          </cell>
          <cell r="B3263" t="str">
            <v>Horeca Smart</v>
          </cell>
          <cell r="C3263" t="str">
            <v xml:space="preserve">عملاء كاش </v>
          </cell>
          <cell r="D3263" t="str">
            <v>Lames Magdy</v>
          </cell>
        </row>
        <row r="3264">
          <cell r="A3264" t="str">
            <v>همبورجيني برجر</v>
          </cell>
          <cell r="B3264" t="str">
            <v>Horeca Smart</v>
          </cell>
          <cell r="C3264" t="str">
            <v xml:space="preserve">عملاء كاش </v>
          </cell>
          <cell r="D3264" t="str">
            <v>Lames Magdy</v>
          </cell>
        </row>
        <row r="3265">
          <cell r="A3265" t="str">
            <v>هيلمر</v>
          </cell>
          <cell r="B3265" t="str">
            <v>Horeca Smart</v>
          </cell>
          <cell r="C3265" t="str">
            <v xml:space="preserve">عملاء كاش </v>
          </cell>
          <cell r="D3265" t="str">
            <v>Naden Amgad</v>
          </cell>
        </row>
        <row r="3266">
          <cell r="A3266" t="str">
            <v>واحة عمر</v>
          </cell>
          <cell r="B3266" t="str">
            <v>Horeca Smart</v>
          </cell>
          <cell r="C3266" t="str">
            <v xml:space="preserve">عملاء كاش </v>
          </cell>
          <cell r="D3266" t="str">
            <v>Lames Magdy</v>
          </cell>
        </row>
        <row r="3267">
          <cell r="A3267" t="str">
            <v>واحد مشوي</v>
          </cell>
          <cell r="B3267" t="str">
            <v>Horeca Smart</v>
          </cell>
          <cell r="C3267" t="str">
            <v xml:space="preserve">عملاء كاش </v>
          </cell>
          <cell r="D3267" t="str">
            <v>Naden Amgad</v>
          </cell>
        </row>
        <row r="3268">
          <cell r="A3268" t="str">
            <v>وادى فودز</v>
          </cell>
          <cell r="B3268" t="str">
            <v>Horeca Smart</v>
          </cell>
          <cell r="C3268" t="str">
            <v xml:space="preserve">عملاء كاش </v>
          </cell>
          <cell r="D3268" t="str">
            <v>Lames Magdy</v>
          </cell>
        </row>
        <row r="3269">
          <cell r="A3269" t="str">
            <v>وافليشوس</v>
          </cell>
          <cell r="B3269" t="str">
            <v>Horeca Smart</v>
          </cell>
          <cell r="C3269" t="str">
            <v xml:space="preserve">عملاء كاش </v>
          </cell>
          <cell r="D3269" t="str">
            <v>Lames Magdy</v>
          </cell>
        </row>
        <row r="3270">
          <cell r="A3270" t="str">
            <v>والى الشام</v>
          </cell>
          <cell r="B3270" t="str">
            <v>Horeca Smart</v>
          </cell>
          <cell r="C3270" t="str">
            <v xml:space="preserve">عملاء كاش </v>
          </cell>
          <cell r="D3270" t="str">
            <v>Lames Magdy</v>
          </cell>
        </row>
        <row r="3271">
          <cell r="A3271" t="str">
            <v>واى اند واى</v>
          </cell>
          <cell r="B3271" t="str">
            <v>MAS</v>
          </cell>
          <cell r="C3271" t="str">
            <v xml:space="preserve">عملاء كاش </v>
          </cell>
          <cell r="D3271" t="str">
            <v>Lames Magdy</v>
          </cell>
        </row>
        <row r="3272">
          <cell r="A3272" t="str">
            <v>وايت نايت - Karak Boy</v>
          </cell>
          <cell r="B3272" t="str">
            <v>Horeca Smart</v>
          </cell>
          <cell r="C3272" t="str">
            <v xml:space="preserve">عملاء كاش </v>
          </cell>
          <cell r="D3272" t="str">
            <v>Lames Magdy</v>
          </cell>
        </row>
        <row r="3273">
          <cell r="A3273" t="str">
            <v>وحيد</v>
          </cell>
          <cell r="B3273" t="str">
            <v>Horeca Smart</v>
          </cell>
          <cell r="C3273" t="str">
            <v xml:space="preserve">عملاء كاش </v>
          </cell>
          <cell r="D3273" t="str">
            <v>Reham Maher</v>
          </cell>
        </row>
        <row r="3274">
          <cell r="A3274" t="str">
            <v>وردة عثمان بك</v>
          </cell>
          <cell r="B3274" t="str">
            <v>Horeca Smart</v>
          </cell>
          <cell r="C3274" t="str">
            <v xml:space="preserve">عملاء كاش </v>
          </cell>
          <cell r="D3274" t="str">
            <v>Lames Magdy</v>
          </cell>
        </row>
        <row r="3275">
          <cell r="A3275" t="str">
            <v>ورق الغام</v>
          </cell>
          <cell r="B3275" t="str">
            <v>Horeca Smart</v>
          </cell>
          <cell r="C3275" t="str">
            <v xml:space="preserve">عملاء كاش </v>
          </cell>
          <cell r="D3275" t="str">
            <v>Lames Magdy</v>
          </cell>
        </row>
        <row r="3276">
          <cell r="A3276" t="str">
            <v>وزير الحلو</v>
          </cell>
          <cell r="B3276" t="str">
            <v>MAS</v>
          </cell>
          <cell r="C3276" t="str">
            <v xml:space="preserve">عملاء كاش </v>
          </cell>
          <cell r="D3276" t="str">
            <v>Haddil Haron</v>
          </cell>
        </row>
        <row r="3277">
          <cell r="A3277" t="str">
            <v>وزير السعادة</v>
          </cell>
          <cell r="B3277" t="str">
            <v>Horeca Smart</v>
          </cell>
          <cell r="C3277" t="str">
            <v xml:space="preserve">عملاء كاش </v>
          </cell>
          <cell r="D3277" t="str">
            <v>Lames Magdy</v>
          </cell>
        </row>
        <row r="3278">
          <cell r="A3278" t="str">
            <v>وصاية</v>
          </cell>
          <cell r="B3278" t="str">
            <v>Horeca Smart</v>
          </cell>
          <cell r="C3278" t="str">
            <v xml:space="preserve">عملاء كاش </v>
          </cell>
          <cell r="D3278" t="str">
            <v>Naden Amgad</v>
          </cell>
        </row>
        <row r="3279">
          <cell r="A3279" t="str">
            <v>وصايه</v>
          </cell>
          <cell r="B3279" t="str">
            <v>Horeca Smart</v>
          </cell>
          <cell r="C3279" t="str">
            <v xml:space="preserve">عملاء كاش </v>
          </cell>
          <cell r="D3279" t="str">
            <v>Naden Amgad</v>
          </cell>
        </row>
        <row r="3280">
          <cell r="A3280" t="str">
            <v>ولعة - البساتين</v>
          </cell>
          <cell r="B3280" t="str">
            <v>Horeca Smart</v>
          </cell>
          <cell r="C3280" t="str">
            <v xml:space="preserve">عملاء كاش </v>
          </cell>
          <cell r="D3280" t="str">
            <v>Lames Magdy</v>
          </cell>
        </row>
        <row r="3281">
          <cell r="A3281" t="str">
            <v>وليد كوكاكولا-شركة الشهد</v>
          </cell>
          <cell r="B3281" t="str">
            <v>Horeca Smart</v>
          </cell>
          <cell r="C3281" t="str">
            <v>موردين كاش</v>
          </cell>
          <cell r="D3281" t="str">
            <v>Amgad Ahmed</v>
          </cell>
        </row>
        <row r="3282">
          <cell r="A3282" t="str">
            <v>يزين الدمشقي</v>
          </cell>
          <cell r="B3282" t="str">
            <v>Horeca Smart</v>
          </cell>
          <cell r="C3282" t="str">
            <v xml:space="preserve">عملاء كاش </v>
          </cell>
          <cell r="D3282" t="str">
            <v>Lames Magdy</v>
          </cell>
        </row>
        <row r="3283">
          <cell r="A3283" t="str">
            <v>يم يم بيتزا</v>
          </cell>
          <cell r="B3283" t="str">
            <v>Horeca Smart</v>
          </cell>
          <cell r="C3283" t="str">
            <v xml:space="preserve">عملاء كاش </v>
          </cell>
          <cell r="D3283" t="str">
            <v>Naden Amgad</v>
          </cell>
        </row>
        <row r="3284">
          <cell r="A3284" t="str">
            <v>يومامي</v>
          </cell>
          <cell r="B3284" t="str">
            <v>Horeca Smart</v>
          </cell>
          <cell r="C3284" t="str">
            <v xml:space="preserve">عملاء كاش </v>
          </cell>
          <cell r="D3284" t="str">
            <v>Lames Magdy</v>
          </cell>
        </row>
        <row r="3285">
          <cell r="A3285" t="str">
            <v>يونيفرس للتجارة - يو تي سي</v>
          </cell>
          <cell r="C3285" t="str">
            <v>موردين كاش</v>
          </cell>
          <cell r="D3285" t="str">
            <v>Amgad Ahmed</v>
          </cell>
        </row>
        <row r="3286">
          <cell r="A3286" t="str">
            <v>ٍSmoothie Bar Cafe</v>
          </cell>
          <cell r="B3286" t="str">
            <v>Horeca Smart</v>
          </cell>
          <cell r="C3286" t="str">
            <v xml:space="preserve">عملاء كاش </v>
          </cell>
          <cell r="D3286" t="str">
            <v>Lames Magdy</v>
          </cell>
        </row>
        <row r="3287">
          <cell r="A3287" t="str">
            <v>٨ كايرو</v>
          </cell>
          <cell r="B3287" t="str">
            <v>Horeca Smart</v>
          </cell>
          <cell r="C3287" t="str">
            <v xml:space="preserve">عملاء كاش </v>
          </cell>
          <cell r="D3287" t="str">
            <v>Rasha Hassan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6577-B2C7-48DE-B391-73970FC4E73C}">
  <sheetPr filterMode="1"/>
  <dimension ref="A1:L270"/>
  <sheetViews>
    <sheetView rightToLeft="1" workbookViewId="0">
      <selection activeCell="A153" sqref="A153"/>
    </sheetView>
  </sheetViews>
  <sheetFormatPr defaultRowHeight="15" x14ac:dyDescent="0.25"/>
  <cols>
    <col min="1" max="1" width="32.140625" style="4" customWidth="1"/>
    <col min="2" max="2" width="9.42578125" style="7" customWidth="1"/>
    <col min="3" max="4" width="13.140625" style="7" customWidth="1"/>
    <col min="5" max="5" width="15.5703125" style="7" customWidth="1"/>
    <col min="6" max="6" width="15.85546875" style="7" customWidth="1"/>
    <col min="7" max="7" width="14.7109375" style="7" customWidth="1"/>
    <col min="8" max="8" width="13.85546875" style="7" customWidth="1"/>
    <col min="9" max="9" width="13.7109375" style="7" customWidth="1"/>
    <col min="10" max="10" width="14.28515625" style="7" bestFit="1" customWidth="1"/>
    <col min="11" max="11" width="14.140625" style="7" customWidth="1"/>
    <col min="12" max="12" width="16.85546875" style="7" customWidth="1"/>
    <col min="13" max="16384" width="9.140625" style="1"/>
  </cols>
  <sheetData>
    <row r="1" spans="1:12" ht="26.25" customHeight="1" thickBo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3" spans="1:12" ht="15.75" customHeight="1" x14ac:dyDescent="0.25">
      <c r="A3" s="14" t="s">
        <v>1</v>
      </c>
      <c r="B3" s="15" t="s">
        <v>2</v>
      </c>
      <c r="C3" s="17" t="s">
        <v>3</v>
      </c>
      <c r="D3" s="17" t="s">
        <v>4</v>
      </c>
      <c r="E3" s="15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s="4" customFormat="1" x14ac:dyDescent="0.25">
      <c r="A4" s="14"/>
      <c r="B4" s="16"/>
      <c r="C4" s="18"/>
      <c r="D4" s="18"/>
      <c r="E4" s="16"/>
      <c r="F4" s="3">
        <f t="shared" ref="F4:K4" si="0">SUBTOTAL(9,F5:F270)</f>
        <v>77152.600000000006</v>
      </c>
      <c r="G4" s="3">
        <f t="shared" si="0"/>
        <v>39366</v>
      </c>
      <c r="H4" s="3">
        <f t="shared" si="0"/>
        <v>12150</v>
      </c>
      <c r="I4" s="3">
        <f t="shared" si="0"/>
        <v>5435</v>
      </c>
      <c r="J4" s="3">
        <f t="shared" si="0"/>
        <v>0</v>
      </c>
      <c r="K4" s="3">
        <f t="shared" si="0"/>
        <v>4004255.1099999994</v>
      </c>
      <c r="L4" s="3">
        <f>SUBTOTAL(9,L5:L270)</f>
        <v>4138358.7099999995</v>
      </c>
    </row>
    <row r="5" spans="1:12" hidden="1" x14ac:dyDescent="0.25">
      <c r="A5" s="5" t="s">
        <v>13</v>
      </c>
      <c r="B5" s="5">
        <v>0</v>
      </c>
      <c r="C5" s="5" t="s">
        <v>14</v>
      </c>
      <c r="D5" s="6">
        <v>0</v>
      </c>
      <c r="E5" s="5" t="s">
        <v>15</v>
      </c>
      <c r="F5" s="5">
        <v>0</v>
      </c>
      <c r="G5" s="5">
        <v>4342873.5</v>
      </c>
      <c r="H5" s="5">
        <v>3877405.18</v>
      </c>
      <c r="I5" s="5">
        <v>0</v>
      </c>
      <c r="J5" s="5">
        <v>886378.79</v>
      </c>
      <c r="K5" s="5">
        <v>0</v>
      </c>
      <c r="L5" s="3">
        <v>9106657.4700000007</v>
      </c>
    </row>
    <row r="6" spans="1:12" hidden="1" x14ac:dyDescent="0.25">
      <c r="A6" s="5" t="s">
        <v>16</v>
      </c>
      <c r="B6" s="5" t="s">
        <v>17</v>
      </c>
      <c r="C6" s="5" t="s">
        <v>18</v>
      </c>
      <c r="D6" s="6" t="s">
        <v>19</v>
      </c>
      <c r="E6" s="5" t="s">
        <v>15</v>
      </c>
      <c r="F6" s="5">
        <v>2272096.04</v>
      </c>
      <c r="G6" s="5">
        <v>1364858.32</v>
      </c>
      <c r="H6" s="5">
        <v>246187.5</v>
      </c>
      <c r="I6" s="5">
        <v>0</v>
      </c>
      <c r="J6" s="5">
        <v>190187.66</v>
      </c>
      <c r="K6" s="5">
        <v>0</v>
      </c>
      <c r="L6" s="3">
        <v>4073329.52</v>
      </c>
    </row>
    <row r="7" spans="1:12" hidden="1" x14ac:dyDescent="0.25">
      <c r="A7" s="5" t="s">
        <v>20</v>
      </c>
      <c r="B7" s="5" t="s">
        <v>17</v>
      </c>
      <c r="C7" s="5" t="s">
        <v>18</v>
      </c>
      <c r="D7" s="6" t="s">
        <v>21</v>
      </c>
      <c r="E7" s="5" t="s">
        <v>15</v>
      </c>
      <c r="F7" s="5">
        <v>1227970</v>
      </c>
      <c r="G7" s="5">
        <v>793521.9</v>
      </c>
      <c r="H7" s="5">
        <v>0</v>
      </c>
      <c r="I7" s="5">
        <v>0</v>
      </c>
      <c r="J7" s="5">
        <v>927344.29</v>
      </c>
      <c r="K7" s="5">
        <v>0</v>
      </c>
      <c r="L7" s="3">
        <v>2948836.19</v>
      </c>
    </row>
    <row r="8" spans="1:12" hidden="1" x14ac:dyDescent="0.25">
      <c r="A8" s="5" t="s">
        <v>22</v>
      </c>
      <c r="B8" s="5" t="s">
        <v>17</v>
      </c>
      <c r="C8" s="5" t="s">
        <v>18</v>
      </c>
      <c r="D8" s="6" t="s">
        <v>23</v>
      </c>
      <c r="E8" s="5" t="s">
        <v>15</v>
      </c>
      <c r="F8" s="5">
        <v>1824932.41</v>
      </c>
      <c r="G8" s="5">
        <v>485100.6</v>
      </c>
      <c r="H8" s="5">
        <v>17913</v>
      </c>
      <c r="I8" s="5">
        <v>0</v>
      </c>
      <c r="J8" s="5">
        <v>582364.27</v>
      </c>
      <c r="K8" s="5">
        <v>0</v>
      </c>
      <c r="L8" s="3">
        <v>2910310.28</v>
      </c>
    </row>
    <row r="9" spans="1:12" hidden="1" x14ac:dyDescent="0.25">
      <c r="A9" s="5" t="s">
        <v>24</v>
      </c>
      <c r="B9" s="5" t="s">
        <v>17</v>
      </c>
      <c r="C9" s="5" t="s">
        <v>18</v>
      </c>
      <c r="D9" s="6" t="s">
        <v>21</v>
      </c>
      <c r="E9" s="5" t="s">
        <v>15</v>
      </c>
      <c r="F9" s="5">
        <v>979180</v>
      </c>
      <c r="G9" s="5">
        <v>352005</v>
      </c>
      <c r="H9" s="5">
        <v>832327.44</v>
      </c>
      <c r="I9" s="5">
        <v>210000</v>
      </c>
      <c r="J9" s="5">
        <v>0</v>
      </c>
      <c r="K9" s="5">
        <v>0</v>
      </c>
      <c r="L9" s="3">
        <v>2373512.44</v>
      </c>
    </row>
    <row r="10" spans="1:12" hidden="1" x14ac:dyDescent="0.25">
      <c r="A10" s="5" t="s">
        <v>25</v>
      </c>
      <c r="B10" s="5" t="s">
        <v>17</v>
      </c>
      <c r="C10" s="5" t="s">
        <v>18</v>
      </c>
      <c r="D10" s="6" t="s">
        <v>19</v>
      </c>
      <c r="E10" s="5" t="s">
        <v>15</v>
      </c>
      <c r="F10" s="5">
        <v>2181891</v>
      </c>
      <c r="G10" s="5">
        <v>0</v>
      </c>
      <c r="H10" s="5">
        <v>0</v>
      </c>
      <c r="I10" s="5">
        <v>0</v>
      </c>
      <c r="J10" s="5">
        <v>46254.23</v>
      </c>
      <c r="K10" s="5">
        <v>0</v>
      </c>
      <c r="L10" s="3">
        <v>2228145.23</v>
      </c>
    </row>
    <row r="11" spans="1:12" hidden="1" x14ac:dyDescent="0.25">
      <c r="A11" s="5" t="s">
        <v>26</v>
      </c>
      <c r="B11" s="5" t="s">
        <v>17</v>
      </c>
      <c r="C11" s="5" t="s">
        <v>18</v>
      </c>
      <c r="D11" s="6" t="s">
        <v>21</v>
      </c>
      <c r="E11" s="5" t="s">
        <v>15</v>
      </c>
      <c r="F11" s="5">
        <v>2131901.2400000002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3">
        <v>2131901.2400000002</v>
      </c>
    </row>
    <row r="12" spans="1:12" hidden="1" x14ac:dyDescent="0.25">
      <c r="A12" s="5" t="s">
        <v>27</v>
      </c>
      <c r="B12" s="5" t="s">
        <v>17</v>
      </c>
      <c r="C12" s="5" t="s">
        <v>18</v>
      </c>
      <c r="D12" s="6" t="s">
        <v>21</v>
      </c>
      <c r="E12" s="5" t="s">
        <v>15</v>
      </c>
      <c r="F12" s="5">
        <v>1293044</v>
      </c>
      <c r="G12" s="5">
        <v>769850.28</v>
      </c>
      <c r="H12" s="5">
        <v>0</v>
      </c>
      <c r="I12" s="5">
        <v>0</v>
      </c>
      <c r="J12" s="5">
        <v>0</v>
      </c>
      <c r="K12" s="5">
        <v>0</v>
      </c>
      <c r="L12" s="3">
        <v>2062894.28</v>
      </c>
    </row>
    <row r="13" spans="1:12" hidden="1" x14ac:dyDescent="0.25">
      <c r="A13" s="5" t="s">
        <v>28</v>
      </c>
      <c r="B13" s="5" t="s">
        <v>17</v>
      </c>
      <c r="C13" s="5" t="s">
        <v>18</v>
      </c>
      <c r="D13" s="6" t="s">
        <v>29</v>
      </c>
      <c r="E13" s="5" t="s">
        <v>15</v>
      </c>
      <c r="F13" s="5">
        <v>0</v>
      </c>
      <c r="G13" s="5">
        <v>2004570.77</v>
      </c>
      <c r="H13" s="5">
        <v>0</v>
      </c>
      <c r="I13" s="5">
        <v>22223.47</v>
      </c>
      <c r="J13" s="5">
        <v>0</v>
      </c>
      <c r="K13" s="5">
        <v>0</v>
      </c>
      <c r="L13" s="3">
        <v>2026794.24</v>
      </c>
    </row>
    <row r="14" spans="1:12" hidden="1" x14ac:dyDescent="0.25">
      <c r="A14" s="5" t="s">
        <v>30</v>
      </c>
      <c r="B14" s="5" t="s">
        <v>17</v>
      </c>
      <c r="C14" s="5" t="s">
        <v>18</v>
      </c>
      <c r="D14" s="6" t="s">
        <v>31</v>
      </c>
      <c r="E14" s="5" t="s">
        <v>15</v>
      </c>
      <c r="F14" s="5">
        <v>1039115.6</v>
      </c>
      <c r="G14" s="5">
        <v>545887.41</v>
      </c>
      <c r="H14" s="5">
        <v>0</v>
      </c>
      <c r="I14" s="5">
        <v>0</v>
      </c>
      <c r="J14" s="5">
        <v>154204.10999999999</v>
      </c>
      <c r="K14" s="5">
        <v>0</v>
      </c>
      <c r="L14" s="3">
        <v>1739207.12</v>
      </c>
    </row>
    <row r="15" spans="1:12" x14ac:dyDescent="0.25">
      <c r="A15" s="5" t="s">
        <v>32</v>
      </c>
      <c r="B15" s="5" t="s">
        <v>17</v>
      </c>
      <c r="C15" s="5" t="s">
        <v>33</v>
      </c>
      <c r="D15" s="6">
        <v>0</v>
      </c>
      <c r="E15" s="5" t="s">
        <v>34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1478936.96</v>
      </c>
      <c r="L15" s="3">
        <v>1478936.96</v>
      </c>
    </row>
    <row r="16" spans="1:12" x14ac:dyDescent="0.25">
      <c r="A16" s="5" t="s">
        <v>35</v>
      </c>
      <c r="B16" s="5" t="s">
        <v>17</v>
      </c>
      <c r="C16" s="5" t="s">
        <v>18</v>
      </c>
      <c r="D16" s="6" t="s">
        <v>19</v>
      </c>
      <c r="E16" s="5" t="s">
        <v>15</v>
      </c>
      <c r="F16" s="5">
        <v>0</v>
      </c>
      <c r="G16" s="5">
        <v>39366</v>
      </c>
      <c r="H16" s="5">
        <v>12000</v>
      </c>
      <c r="I16" s="5">
        <v>0</v>
      </c>
      <c r="J16" s="5">
        <v>0</v>
      </c>
      <c r="K16" s="5">
        <v>1369387.17</v>
      </c>
      <c r="L16" s="3">
        <v>1420753.17</v>
      </c>
    </row>
    <row r="17" spans="1:12" hidden="1" x14ac:dyDescent="0.25">
      <c r="A17" s="5" t="s">
        <v>36</v>
      </c>
      <c r="B17" s="5">
        <v>0</v>
      </c>
      <c r="C17" s="5" t="s">
        <v>37</v>
      </c>
      <c r="D17" s="6" t="s">
        <v>38</v>
      </c>
      <c r="E17" s="5" t="s">
        <v>39</v>
      </c>
      <c r="F17" s="5">
        <v>0</v>
      </c>
      <c r="G17" s="5">
        <v>1409941.8</v>
      </c>
      <c r="H17" s="5"/>
      <c r="I17" s="5">
        <v>0</v>
      </c>
      <c r="J17" s="5">
        <v>0</v>
      </c>
      <c r="K17" s="5">
        <v>0</v>
      </c>
      <c r="L17" s="3">
        <v>1409941.8</v>
      </c>
    </row>
    <row r="18" spans="1:12" hidden="1" x14ac:dyDescent="0.25">
      <c r="A18" s="5" t="s">
        <v>40</v>
      </c>
      <c r="B18" s="5" t="s">
        <v>17</v>
      </c>
      <c r="C18" s="5" t="s">
        <v>14</v>
      </c>
      <c r="D18" s="6" t="s">
        <v>38</v>
      </c>
      <c r="E18" s="5" t="s">
        <v>41</v>
      </c>
      <c r="F18" s="5">
        <v>0</v>
      </c>
      <c r="G18" s="5">
        <v>1076699.28</v>
      </c>
      <c r="H18" s="5">
        <v>0</v>
      </c>
      <c r="I18" s="5">
        <v>0</v>
      </c>
      <c r="J18" s="5">
        <v>0</v>
      </c>
      <c r="K18" s="5">
        <v>0</v>
      </c>
      <c r="L18" s="3">
        <v>1076699.28</v>
      </c>
    </row>
    <row r="19" spans="1:12" hidden="1" x14ac:dyDescent="0.25">
      <c r="A19" s="5" t="s">
        <v>42</v>
      </c>
      <c r="B19" s="5">
        <v>0</v>
      </c>
      <c r="C19" s="5" t="s">
        <v>14</v>
      </c>
      <c r="D19" s="6">
        <v>0</v>
      </c>
      <c r="E19" s="5" t="s">
        <v>41</v>
      </c>
      <c r="F19" s="5">
        <v>0</v>
      </c>
      <c r="G19" s="5">
        <v>459182.38</v>
      </c>
      <c r="H19" s="5"/>
      <c r="I19" s="5">
        <v>304042.3</v>
      </c>
      <c r="J19" s="5">
        <v>275156.59999999998</v>
      </c>
      <c r="K19" s="5">
        <v>0</v>
      </c>
      <c r="L19" s="3">
        <v>1038381.28</v>
      </c>
    </row>
    <row r="20" spans="1:12" hidden="1" x14ac:dyDescent="0.25">
      <c r="A20" s="5" t="s">
        <v>43</v>
      </c>
      <c r="B20" s="5" t="s">
        <v>17</v>
      </c>
      <c r="C20" s="5" t="s">
        <v>18</v>
      </c>
      <c r="D20" s="6" t="s">
        <v>19</v>
      </c>
      <c r="E20" s="5" t="s">
        <v>15</v>
      </c>
      <c r="F20" s="5">
        <v>793900</v>
      </c>
      <c r="G20" s="5">
        <v>45351</v>
      </c>
      <c r="H20" s="5">
        <v>117104.29</v>
      </c>
      <c r="I20" s="5">
        <v>50018.22</v>
      </c>
      <c r="J20" s="5">
        <v>0</v>
      </c>
      <c r="K20" s="5">
        <v>0</v>
      </c>
      <c r="L20" s="3">
        <v>1006373.51</v>
      </c>
    </row>
    <row r="21" spans="1:12" hidden="1" x14ac:dyDescent="0.25">
      <c r="A21" s="5" t="s">
        <v>44</v>
      </c>
      <c r="B21" s="5" t="s">
        <v>17</v>
      </c>
      <c r="C21" s="5" t="s">
        <v>18</v>
      </c>
      <c r="D21" s="6" t="s">
        <v>31</v>
      </c>
      <c r="E21" s="5" t="s">
        <v>15</v>
      </c>
      <c r="F21" s="5">
        <v>108057.25</v>
      </c>
      <c r="G21" s="5">
        <v>134100</v>
      </c>
      <c r="H21" s="5">
        <v>320187.3</v>
      </c>
      <c r="I21" s="5">
        <v>0</v>
      </c>
      <c r="J21" s="5">
        <v>416516.24</v>
      </c>
      <c r="K21" s="5">
        <v>0</v>
      </c>
      <c r="L21" s="3">
        <v>978860.79</v>
      </c>
    </row>
    <row r="22" spans="1:12" hidden="1" x14ac:dyDescent="0.25">
      <c r="A22" s="5" t="s">
        <v>45</v>
      </c>
      <c r="B22" s="5" t="s">
        <v>46</v>
      </c>
      <c r="C22" s="5" t="s">
        <v>18</v>
      </c>
      <c r="D22" s="6" t="s">
        <v>47</v>
      </c>
      <c r="E22" s="5" t="s">
        <v>48</v>
      </c>
      <c r="F22" s="5">
        <v>587244.72</v>
      </c>
      <c r="G22" s="5">
        <v>361949.41</v>
      </c>
      <c r="H22" s="5"/>
      <c r="I22" s="5">
        <v>0</v>
      </c>
      <c r="J22" s="5">
        <v>0</v>
      </c>
      <c r="K22" s="5">
        <v>0</v>
      </c>
      <c r="L22" s="3">
        <v>949193.0199999999</v>
      </c>
    </row>
    <row r="23" spans="1:12" hidden="1" x14ac:dyDescent="0.25">
      <c r="A23" s="5" t="s">
        <v>49</v>
      </c>
      <c r="B23" s="5" t="s">
        <v>17</v>
      </c>
      <c r="C23" s="5" t="s">
        <v>18</v>
      </c>
      <c r="D23" s="6" t="s">
        <v>19</v>
      </c>
      <c r="E23" s="5" t="s">
        <v>15</v>
      </c>
      <c r="F23" s="5">
        <v>362102</v>
      </c>
      <c r="G23" s="5">
        <v>25244</v>
      </c>
      <c r="H23" s="5">
        <v>557422.66</v>
      </c>
      <c r="I23" s="5">
        <v>0</v>
      </c>
      <c r="J23" s="5">
        <v>200.78</v>
      </c>
      <c r="K23" s="5">
        <v>0</v>
      </c>
      <c r="L23" s="3">
        <v>944969.44000000006</v>
      </c>
    </row>
    <row r="24" spans="1:12" hidden="1" x14ac:dyDescent="0.25">
      <c r="A24" s="5" t="s">
        <v>50</v>
      </c>
      <c r="B24" s="5" t="s">
        <v>46</v>
      </c>
      <c r="C24" s="5" t="s">
        <v>18</v>
      </c>
      <c r="D24" s="6" t="s">
        <v>21</v>
      </c>
      <c r="E24" s="5" t="s">
        <v>51</v>
      </c>
      <c r="F24" s="5">
        <v>701539.69</v>
      </c>
      <c r="G24" s="5">
        <v>232017.5</v>
      </c>
      <c r="H24" s="5">
        <v>105</v>
      </c>
      <c r="I24" s="5">
        <v>88.6</v>
      </c>
      <c r="J24" s="5">
        <v>0</v>
      </c>
      <c r="K24" s="5">
        <v>0</v>
      </c>
      <c r="L24" s="3">
        <v>933750.78999999992</v>
      </c>
    </row>
    <row r="25" spans="1:12" hidden="1" x14ac:dyDescent="0.25">
      <c r="A25" s="5" t="s">
        <v>52</v>
      </c>
      <c r="B25" s="5" t="s">
        <v>17</v>
      </c>
      <c r="C25" s="5" t="s">
        <v>18</v>
      </c>
      <c r="D25" s="6" t="s">
        <v>19</v>
      </c>
      <c r="E25" s="5" t="s">
        <v>15</v>
      </c>
      <c r="F25" s="5">
        <v>864444.8</v>
      </c>
      <c r="G25" s="5">
        <v>61140.79</v>
      </c>
      <c r="H25" s="5">
        <v>0</v>
      </c>
      <c r="I25" s="5">
        <v>2.15</v>
      </c>
      <c r="J25" s="5">
        <v>19.95</v>
      </c>
      <c r="K25" s="5">
        <v>0</v>
      </c>
      <c r="L25" s="3">
        <v>925607.69000000006</v>
      </c>
    </row>
    <row r="26" spans="1:12" hidden="1" x14ac:dyDescent="0.25">
      <c r="A26" s="5" t="s">
        <v>53</v>
      </c>
      <c r="B26" s="5" t="s">
        <v>46</v>
      </c>
      <c r="C26" s="5" t="s">
        <v>18</v>
      </c>
      <c r="D26" s="6" t="s">
        <v>31</v>
      </c>
      <c r="E26" s="5" t="s">
        <v>51</v>
      </c>
      <c r="F26" s="5">
        <v>512598.6</v>
      </c>
      <c r="G26" s="5">
        <v>346479.17</v>
      </c>
      <c r="H26" s="5">
        <v>13999.96</v>
      </c>
      <c r="I26" s="5">
        <v>8598.52</v>
      </c>
      <c r="J26" s="5">
        <v>644.66999999999996</v>
      </c>
      <c r="K26" s="5">
        <v>0</v>
      </c>
      <c r="L26" s="3">
        <v>882320.91999999993</v>
      </c>
    </row>
    <row r="27" spans="1:12" hidden="1" x14ac:dyDescent="0.25">
      <c r="A27" s="5" t="s">
        <v>54</v>
      </c>
      <c r="B27" s="5" t="s">
        <v>17</v>
      </c>
      <c r="C27" s="5" t="s">
        <v>18</v>
      </c>
      <c r="D27" s="6" t="s">
        <v>31</v>
      </c>
      <c r="E27" s="5" t="s">
        <v>15</v>
      </c>
      <c r="F27" s="5">
        <v>181421.5</v>
      </c>
      <c r="G27" s="5">
        <v>526133.5</v>
      </c>
      <c r="H27" s="5">
        <v>140516.95000000001</v>
      </c>
      <c r="I27" s="5">
        <v>0</v>
      </c>
      <c r="J27" s="5">
        <v>0</v>
      </c>
      <c r="K27" s="5">
        <v>0</v>
      </c>
      <c r="L27" s="3">
        <v>848071.95</v>
      </c>
    </row>
    <row r="28" spans="1:12" hidden="1" x14ac:dyDescent="0.25">
      <c r="A28" s="5" t="s">
        <v>55</v>
      </c>
      <c r="B28" s="5" t="s">
        <v>17</v>
      </c>
      <c r="C28" s="5" t="s">
        <v>18</v>
      </c>
      <c r="D28" s="6" t="s">
        <v>19</v>
      </c>
      <c r="E28" s="5" t="s">
        <v>15</v>
      </c>
      <c r="F28" s="5">
        <v>0</v>
      </c>
      <c r="G28" s="5">
        <v>183060</v>
      </c>
      <c r="H28" s="5">
        <v>1950</v>
      </c>
      <c r="I28" s="5">
        <v>0</v>
      </c>
      <c r="J28" s="5">
        <v>652132</v>
      </c>
      <c r="K28" s="5">
        <v>0</v>
      </c>
      <c r="L28" s="3">
        <v>837142</v>
      </c>
    </row>
    <row r="29" spans="1:12" hidden="1" x14ac:dyDescent="0.25">
      <c r="A29" s="5" t="s">
        <v>56</v>
      </c>
      <c r="B29" s="5" t="s">
        <v>17</v>
      </c>
      <c r="C29" s="5" t="s">
        <v>18</v>
      </c>
      <c r="D29" s="6" t="s">
        <v>31</v>
      </c>
      <c r="E29" s="5" t="s">
        <v>15</v>
      </c>
      <c r="F29" s="5">
        <v>101600</v>
      </c>
      <c r="G29" s="5">
        <v>292710</v>
      </c>
      <c r="H29" s="5">
        <v>196237.96</v>
      </c>
      <c r="I29" s="5">
        <v>0</v>
      </c>
      <c r="J29" s="5">
        <v>227050</v>
      </c>
      <c r="K29" s="5">
        <v>0</v>
      </c>
      <c r="L29" s="3">
        <v>817597.96</v>
      </c>
    </row>
    <row r="30" spans="1:12" hidden="1" x14ac:dyDescent="0.25">
      <c r="A30" s="5" t="s">
        <v>57</v>
      </c>
      <c r="B30" s="5" t="s">
        <v>17</v>
      </c>
      <c r="C30" s="5" t="s">
        <v>18</v>
      </c>
      <c r="D30" s="6">
        <v>0</v>
      </c>
      <c r="E30" s="5" t="s">
        <v>15</v>
      </c>
      <c r="F30" s="5">
        <v>0</v>
      </c>
      <c r="G30" s="5">
        <v>404942.6</v>
      </c>
      <c r="H30" s="5">
        <v>279956.75</v>
      </c>
      <c r="I30" s="5">
        <v>0</v>
      </c>
      <c r="J30" s="5">
        <v>0</v>
      </c>
      <c r="K30" s="5">
        <v>0</v>
      </c>
      <c r="L30" s="3">
        <v>684899.35</v>
      </c>
    </row>
    <row r="31" spans="1:12" hidden="1" x14ac:dyDescent="0.25">
      <c r="A31" s="5" t="s">
        <v>58</v>
      </c>
      <c r="B31" s="5" t="s">
        <v>17</v>
      </c>
      <c r="C31" s="5" t="s">
        <v>18</v>
      </c>
      <c r="D31" s="6" t="s">
        <v>19</v>
      </c>
      <c r="E31" s="5" t="s">
        <v>15</v>
      </c>
      <c r="F31" s="5">
        <v>210311.2</v>
      </c>
      <c r="G31" s="5">
        <v>267680.98</v>
      </c>
      <c r="H31" s="5">
        <v>164538</v>
      </c>
      <c r="I31" s="5">
        <v>0</v>
      </c>
      <c r="J31" s="5">
        <v>0</v>
      </c>
      <c r="K31" s="5">
        <v>0</v>
      </c>
      <c r="L31" s="3">
        <v>642530.17999999993</v>
      </c>
    </row>
    <row r="32" spans="1:12" hidden="1" x14ac:dyDescent="0.25">
      <c r="A32" s="5" t="s">
        <v>59</v>
      </c>
      <c r="B32" s="5" t="s">
        <v>17</v>
      </c>
      <c r="C32" s="5" t="s">
        <v>18</v>
      </c>
      <c r="D32" s="6" t="s">
        <v>31</v>
      </c>
      <c r="E32" s="5" t="s">
        <v>15</v>
      </c>
      <c r="F32" s="5">
        <v>205901.1</v>
      </c>
      <c r="G32" s="5">
        <v>433476</v>
      </c>
      <c r="H32" s="5">
        <v>0</v>
      </c>
      <c r="I32" s="5">
        <v>0</v>
      </c>
      <c r="J32" s="5">
        <v>0</v>
      </c>
      <c r="K32" s="5">
        <v>0</v>
      </c>
      <c r="L32" s="3">
        <v>639377.1</v>
      </c>
    </row>
    <row r="33" spans="1:12" hidden="1" x14ac:dyDescent="0.25">
      <c r="A33" s="5" t="s">
        <v>60</v>
      </c>
      <c r="B33" s="5" t="s">
        <v>17</v>
      </c>
      <c r="C33" s="5" t="s">
        <v>18</v>
      </c>
      <c r="D33" s="6" t="s">
        <v>21</v>
      </c>
      <c r="E33" s="5" t="s">
        <v>15</v>
      </c>
      <c r="F33" s="5">
        <v>507299.44</v>
      </c>
      <c r="G33" s="5">
        <v>66995.850000000006</v>
      </c>
      <c r="H33" s="5">
        <v>7855.5</v>
      </c>
      <c r="I33" s="5">
        <v>0</v>
      </c>
      <c r="J33" s="5">
        <v>0</v>
      </c>
      <c r="K33" s="5">
        <v>0</v>
      </c>
      <c r="L33" s="3">
        <v>582150.79</v>
      </c>
    </row>
    <row r="34" spans="1:12" hidden="1" x14ac:dyDescent="0.25">
      <c r="A34" s="5" t="s">
        <v>61</v>
      </c>
      <c r="B34" s="5" t="s">
        <v>17</v>
      </c>
      <c r="C34" s="5" t="s">
        <v>18</v>
      </c>
      <c r="D34" s="6" t="s">
        <v>21</v>
      </c>
      <c r="E34" s="5" t="s">
        <v>15</v>
      </c>
      <c r="F34" s="5">
        <v>0</v>
      </c>
      <c r="G34" s="5">
        <v>0</v>
      </c>
      <c r="H34" s="5">
        <v>0</v>
      </c>
      <c r="I34" s="5">
        <v>317400</v>
      </c>
      <c r="J34" s="5">
        <v>221580.74</v>
      </c>
      <c r="K34" s="5">
        <v>0</v>
      </c>
      <c r="L34" s="3">
        <v>538980.74</v>
      </c>
    </row>
    <row r="35" spans="1:12" x14ac:dyDescent="0.25">
      <c r="A35" s="5" t="s">
        <v>62</v>
      </c>
      <c r="B35" s="5" t="s">
        <v>17</v>
      </c>
      <c r="C35" s="5" t="s">
        <v>33</v>
      </c>
      <c r="D35" s="6">
        <v>0</v>
      </c>
      <c r="E35" s="5" t="s">
        <v>48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515589.97</v>
      </c>
      <c r="L35" s="3">
        <v>515589.97</v>
      </c>
    </row>
    <row r="36" spans="1:12" hidden="1" x14ac:dyDescent="0.25">
      <c r="A36" s="5" t="s">
        <v>63</v>
      </c>
      <c r="B36" s="5" t="s">
        <v>17</v>
      </c>
      <c r="C36" s="5" t="s">
        <v>14</v>
      </c>
      <c r="D36" s="6" t="s">
        <v>38</v>
      </c>
      <c r="E36" s="5" t="s">
        <v>15</v>
      </c>
      <c r="F36" s="5">
        <v>0</v>
      </c>
      <c r="G36" s="5">
        <v>0</v>
      </c>
      <c r="H36" s="5">
        <v>487719</v>
      </c>
      <c r="I36" s="5"/>
      <c r="J36" s="5"/>
      <c r="K36" s="5">
        <v>0</v>
      </c>
      <c r="L36" s="3">
        <v>487719</v>
      </c>
    </row>
    <row r="37" spans="1:12" hidden="1" x14ac:dyDescent="0.25">
      <c r="A37" s="5" t="s">
        <v>64</v>
      </c>
      <c r="B37" s="5" t="s">
        <v>17</v>
      </c>
      <c r="C37" s="5" t="s">
        <v>18</v>
      </c>
      <c r="D37" s="6" t="s">
        <v>21</v>
      </c>
      <c r="E37" s="5" t="s">
        <v>15</v>
      </c>
      <c r="F37" s="5">
        <v>137786</v>
      </c>
      <c r="G37" s="5">
        <v>206009.15</v>
      </c>
      <c r="H37" s="5">
        <v>103415.65</v>
      </c>
      <c r="I37" s="5">
        <v>0</v>
      </c>
      <c r="J37" s="5">
        <v>0</v>
      </c>
      <c r="K37" s="5">
        <v>0</v>
      </c>
      <c r="L37" s="3">
        <v>447210.8</v>
      </c>
    </row>
    <row r="38" spans="1:12" hidden="1" x14ac:dyDescent="0.25">
      <c r="A38" s="5" t="s">
        <v>65</v>
      </c>
      <c r="B38" s="5" t="s">
        <v>17</v>
      </c>
      <c r="C38" s="5" t="s">
        <v>37</v>
      </c>
      <c r="D38" s="6" t="s">
        <v>38</v>
      </c>
      <c r="E38" s="5" t="s">
        <v>15</v>
      </c>
      <c r="F38" s="5">
        <v>0</v>
      </c>
      <c r="G38" s="5">
        <v>422992.8</v>
      </c>
      <c r="H38" s="5">
        <v>0</v>
      </c>
      <c r="I38" s="5">
        <v>0</v>
      </c>
      <c r="J38" s="5">
        <v>0</v>
      </c>
      <c r="K38" s="5">
        <v>0</v>
      </c>
      <c r="L38" s="3">
        <v>422992.8</v>
      </c>
    </row>
    <row r="39" spans="1:12" hidden="1" x14ac:dyDescent="0.25">
      <c r="A39" s="5" t="s">
        <v>66</v>
      </c>
      <c r="B39" s="5" t="s">
        <v>17</v>
      </c>
      <c r="C39" s="5" t="s">
        <v>18</v>
      </c>
      <c r="D39" s="6" t="s">
        <v>19</v>
      </c>
      <c r="E39" s="5" t="s">
        <v>15</v>
      </c>
      <c r="F39" s="5">
        <v>0</v>
      </c>
      <c r="G39" s="5">
        <v>0</v>
      </c>
      <c r="H39" s="5">
        <v>0</v>
      </c>
      <c r="I39" s="5">
        <v>0</v>
      </c>
      <c r="J39" s="5">
        <v>408176.14</v>
      </c>
      <c r="K39" s="5">
        <v>0</v>
      </c>
      <c r="L39" s="3">
        <v>408176.14</v>
      </c>
    </row>
    <row r="40" spans="1:12" hidden="1" x14ac:dyDescent="0.25">
      <c r="A40" s="5" t="s">
        <v>67</v>
      </c>
      <c r="B40" s="5" t="s">
        <v>17</v>
      </c>
      <c r="C40" s="5" t="s">
        <v>14</v>
      </c>
      <c r="D40" s="6" t="s">
        <v>68</v>
      </c>
      <c r="E40" s="5" t="s">
        <v>15</v>
      </c>
      <c r="F40" s="5">
        <v>0</v>
      </c>
      <c r="G40" s="5">
        <v>0</v>
      </c>
      <c r="H40" s="5">
        <v>0</v>
      </c>
      <c r="I40" s="5">
        <v>0</v>
      </c>
      <c r="J40" s="5">
        <v>363946.82</v>
      </c>
      <c r="K40" s="5">
        <v>0</v>
      </c>
      <c r="L40" s="3">
        <v>363946.82</v>
      </c>
    </row>
    <row r="41" spans="1:12" hidden="1" x14ac:dyDescent="0.25">
      <c r="A41" s="5" t="s">
        <v>69</v>
      </c>
      <c r="B41" s="5" t="s">
        <v>46</v>
      </c>
      <c r="C41" s="5" t="s">
        <v>18</v>
      </c>
      <c r="D41" s="6" t="s">
        <v>21</v>
      </c>
      <c r="E41" s="5" t="s">
        <v>51</v>
      </c>
      <c r="F41" s="5">
        <v>76000</v>
      </c>
      <c r="G41" s="5">
        <v>0</v>
      </c>
      <c r="H41" s="5">
        <v>286488.73</v>
      </c>
      <c r="I41" s="5">
        <v>0</v>
      </c>
      <c r="J41" s="5">
        <v>0</v>
      </c>
      <c r="K41" s="5">
        <v>0</v>
      </c>
      <c r="L41" s="3">
        <v>362488.73</v>
      </c>
    </row>
    <row r="42" spans="1:12" hidden="1" x14ac:dyDescent="0.25">
      <c r="A42" s="5" t="s">
        <v>70</v>
      </c>
      <c r="B42" s="5" t="s">
        <v>17</v>
      </c>
      <c r="C42" s="5" t="s">
        <v>18</v>
      </c>
      <c r="D42" s="6" t="s">
        <v>21</v>
      </c>
      <c r="E42" s="5" t="s">
        <v>15</v>
      </c>
      <c r="F42" s="5">
        <v>143634.47</v>
      </c>
      <c r="G42" s="5">
        <v>141109.47</v>
      </c>
      <c r="H42" s="5">
        <v>66240.09</v>
      </c>
      <c r="I42" s="5">
        <v>0</v>
      </c>
      <c r="J42" s="5">
        <v>1945.79</v>
      </c>
      <c r="K42" s="5">
        <v>0</v>
      </c>
      <c r="L42" s="3">
        <v>352929.82</v>
      </c>
    </row>
    <row r="43" spans="1:12" hidden="1" x14ac:dyDescent="0.25">
      <c r="A43" s="5" t="s">
        <v>71</v>
      </c>
      <c r="B43" s="5" t="s">
        <v>17</v>
      </c>
      <c r="C43" s="5" t="s">
        <v>18</v>
      </c>
      <c r="D43" s="6" t="s">
        <v>31</v>
      </c>
      <c r="E43" s="5" t="s">
        <v>15</v>
      </c>
      <c r="F43" s="5">
        <v>0</v>
      </c>
      <c r="G43" s="5">
        <v>248600</v>
      </c>
      <c r="H43" s="5">
        <v>79511.850000000006</v>
      </c>
      <c r="I43" s="5"/>
      <c r="J43" s="5">
        <v>20319</v>
      </c>
      <c r="K43" s="5">
        <v>0</v>
      </c>
      <c r="L43" s="3">
        <v>348430.85</v>
      </c>
    </row>
    <row r="44" spans="1:12" hidden="1" x14ac:dyDescent="0.25">
      <c r="A44" s="5" t="s">
        <v>72</v>
      </c>
      <c r="B44" s="5" t="s">
        <v>17</v>
      </c>
      <c r="C44" s="5" t="s">
        <v>18</v>
      </c>
      <c r="D44" s="6" t="s">
        <v>31</v>
      </c>
      <c r="E44" s="5" t="s">
        <v>15</v>
      </c>
      <c r="F44" s="5">
        <v>210000</v>
      </c>
      <c r="G44" s="5">
        <v>132355</v>
      </c>
      <c r="H44" s="5">
        <v>0</v>
      </c>
      <c r="I44" s="5">
        <v>0</v>
      </c>
      <c r="J44" s="5">
        <v>0</v>
      </c>
      <c r="K44" s="5">
        <v>0</v>
      </c>
      <c r="L44" s="3">
        <v>342355</v>
      </c>
    </row>
    <row r="45" spans="1:12" hidden="1" x14ac:dyDescent="0.25">
      <c r="A45" s="5" t="s">
        <v>73</v>
      </c>
      <c r="B45" s="5" t="s">
        <v>17</v>
      </c>
      <c r="C45" s="5" t="s">
        <v>18</v>
      </c>
      <c r="D45" s="6" t="s">
        <v>19</v>
      </c>
      <c r="E45" s="5" t="s">
        <v>15</v>
      </c>
      <c r="F45" s="5">
        <v>143726.75</v>
      </c>
      <c r="G45" s="5">
        <v>27866</v>
      </c>
      <c r="H45" s="5">
        <v>62442.7</v>
      </c>
      <c r="I45" s="5">
        <v>0</v>
      </c>
      <c r="J45" s="5">
        <v>96706.42</v>
      </c>
      <c r="K45" s="5">
        <v>0</v>
      </c>
      <c r="L45" s="3">
        <v>330741.87</v>
      </c>
    </row>
    <row r="46" spans="1:12" x14ac:dyDescent="0.25">
      <c r="A46" s="5" t="s">
        <v>74</v>
      </c>
      <c r="B46" s="5" t="s">
        <v>17</v>
      </c>
      <c r="C46" s="5" t="s">
        <v>18</v>
      </c>
      <c r="D46" s="6" t="s">
        <v>21</v>
      </c>
      <c r="E46" s="5" t="s">
        <v>15</v>
      </c>
      <c r="F46" s="5">
        <v>77152.600000000006</v>
      </c>
      <c r="G46" s="5">
        <v>0</v>
      </c>
      <c r="H46" s="5">
        <v>0</v>
      </c>
      <c r="I46" s="5">
        <v>0</v>
      </c>
      <c r="J46" s="5">
        <v>0</v>
      </c>
      <c r="K46" s="5">
        <v>248874.02</v>
      </c>
      <c r="L46" s="3">
        <v>326026.62</v>
      </c>
    </row>
    <row r="47" spans="1:12" hidden="1" x14ac:dyDescent="0.25">
      <c r="A47" s="5" t="s">
        <v>75</v>
      </c>
      <c r="B47" s="5" t="s">
        <v>17</v>
      </c>
      <c r="C47" s="5" t="s">
        <v>18</v>
      </c>
      <c r="D47" s="6" t="s">
        <v>31</v>
      </c>
      <c r="E47" s="5" t="s">
        <v>15</v>
      </c>
      <c r="F47" s="5">
        <v>88463.8</v>
      </c>
      <c r="G47" s="5">
        <v>131283.20000000001</v>
      </c>
      <c r="H47" s="5">
        <v>86182.18</v>
      </c>
      <c r="I47" s="5">
        <v>501.63</v>
      </c>
      <c r="J47" s="5">
        <v>3009.81</v>
      </c>
      <c r="K47" s="5">
        <v>0</v>
      </c>
      <c r="L47" s="3">
        <v>309440.62</v>
      </c>
    </row>
    <row r="48" spans="1:12" hidden="1" x14ac:dyDescent="0.25">
      <c r="A48" s="5" t="s">
        <v>76</v>
      </c>
      <c r="B48" s="5" t="s">
        <v>17</v>
      </c>
      <c r="C48" s="5" t="s">
        <v>18</v>
      </c>
      <c r="D48" s="6" t="s">
        <v>21</v>
      </c>
      <c r="E48" s="5" t="s">
        <v>15</v>
      </c>
      <c r="F48" s="5">
        <v>256587.4</v>
      </c>
      <c r="G48" s="5">
        <v>47735.61</v>
      </c>
      <c r="H48" s="5">
        <v>0</v>
      </c>
      <c r="I48" s="5">
        <v>0</v>
      </c>
      <c r="J48" s="5">
        <v>0</v>
      </c>
      <c r="K48" s="5">
        <v>0</v>
      </c>
      <c r="L48" s="3">
        <v>304323.01</v>
      </c>
    </row>
    <row r="49" spans="1:12" hidden="1" x14ac:dyDescent="0.25">
      <c r="A49" s="5" t="s">
        <v>77</v>
      </c>
      <c r="B49" s="5" t="s">
        <v>17</v>
      </c>
      <c r="C49" s="5" t="s">
        <v>37</v>
      </c>
      <c r="D49" s="6" t="s">
        <v>38</v>
      </c>
      <c r="E49" s="5" t="s">
        <v>15</v>
      </c>
      <c r="F49" s="5">
        <v>0</v>
      </c>
      <c r="G49" s="5">
        <v>303279.21999999997</v>
      </c>
      <c r="H49" s="5">
        <v>0</v>
      </c>
      <c r="I49" s="5">
        <v>0</v>
      </c>
      <c r="J49" s="5">
        <v>8.6300000000000008</v>
      </c>
      <c r="K49" s="5">
        <v>0</v>
      </c>
      <c r="L49" s="3">
        <v>303287.84999999998</v>
      </c>
    </row>
    <row r="50" spans="1:12" hidden="1" x14ac:dyDescent="0.25">
      <c r="A50" s="5" t="s">
        <v>78</v>
      </c>
      <c r="B50" s="5" t="s">
        <v>46</v>
      </c>
      <c r="C50" s="5" t="s">
        <v>18</v>
      </c>
      <c r="D50" s="6" t="s">
        <v>31</v>
      </c>
      <c r="E50" s="5" t="s">
        <v>79</v>
      </c>
      <c r="F50" s="5">
        <v>240000</v>
      </c>
      <c r="G50" s="5">
        <v>24000</v>
      </c>
      <c r="H50" s="5">
        <v>0</v>
      </c>
      <c r="I50" s="5">
        <v>0</v>
      </c>
      <c r="J50" s="5">
        <v>36173.51</v>
      </c>
      <c r="K50" s="5">
        <v>0</v>
      </c>
      <c r="L50" s="3">
        <v>300173.51</v>
      </c>
    </row>
    <row r="51" spans="1:12" hidden="1" x14ac:dyDescent="0.25">
      <c r="A51" s="5" t="s">
        <v>80</v>
      </c>
      <c r="B51" s="5" t="s">
        <v>17</v>
      </c>
      <c r="C51" s="5" t="s">
        <v>18</v>
      </c>
      <c r="D51" s="6" t="s">
        <v>21</v>
      </c>
      <c r="E51" s="5" t="s">
        <v>15</v>
      </c>
      <c r="F51" s="5">
        <v>157394.18</v>
      </c>
      <c r="G51" s="5">
        <v>0</v>
      </c>
      <c r="H51" s="5">
        <v>22032.9</v>
      </c>
      <c r="I51" s="5">
        <v>107008.7</v>
      </c>
      <c r="J51" s="5">
        <v>1.1000000000000001</v>
      </c>
      <c r="K51" s="5">
        <v>0</v>
      </c>
      <c r="L51" s="3">
        <v>286436.88</v>
      </c>
    </row>
    <row r="52" spans="1:12" hidden="1" x14ac:dyDescent="0.25">
      <c r="A52" s="5" t="s">
        <v>81</v>
      </c>
      <c r="B52" s="5" t="s">
        <v>17</v>
      </c>
      <c r="C52" s="5" t="s">
        <v>37</v>
      </c>
      <c r="D52" s="6" t="s">
        <v>38</v>
      </c>
      <c r="E52" s="5" t="s">
        <v>15</v>
      </c>
      <c r="F52" s="5">
        <v>0</v>
      </c>
      <c r="G52" s="5">
        <v>280185.75</v>
      </c>
      <c r="H52" s="5">
        <v>0</v>
      </c>
      <c r="I52" s="5">
        <v>0</v>
      </c>
      <c r="J52" s="5">
        <v>0</v>
      </c>
      <c r="K52" s="5">
        <v>0</v>
      </c>
      <c r="L52" s="3">
        <v>280185.75</v>
      </c>
    </row>
    <row r="53" spans="1:12" hidden="1" x14ac:dyDescent="0.25">
      <c r="A53" s="5" t="s">
        <v>82</v>
      </c>
      <c r="B53" s="5" t="s">
        <v>17</v>
      </c>
      <c r="C53" s="5" t="s">
        <v>33</v>
      </c>
      <c r="D53" s="6">
        <v>0</v>
      </c>
      <c r="E53" s="5" t="s">
        <v>51</v>
      </c>
      <c r="F53" s="5">
        <v>0</v>
      </c>
      <c r="G53" s="5">
        <v>0</v>
      </c>
      <c r="H53" s="5">
        <v>0</v>
      </c>
      <c r="I53" s="5"/>
      <c r="J53" s="5">
        <v>257197.93</v>
      </c>
      <c r="K53" s="5">
        <v>0</v>
      </c>
      <c r="L53" s="3">
        <v>257197.93</v>
      </c>
    </row>
    <row r="54" spans="1:12" hidden="1" x14ac:dyDescent="0.25">
      <c r="A54" s="5" t="s">
        <v>83</v>
      </c>
      <c r="B54" s="5" t="s">
        <v>17</v>
      </c>
      <c r="C54" s="5" t="s">
        <v>14</v>
      </c>
      <c r="D54" s="6">
        <v>0</v>
      </c>
      <c r="E54" s="5" t="s">
        <v>15</v>
      </c>
      <c r="F54" s="5">
        <v>172390</v>
      </c>
      <c r="G54" s="5">
        <v>0</v>
      </c>
      <c r="H54" s="5">
        <v>70381.5</v>
      </c>
      <c r="I54" s="5">
        <v>6853.66</v>
      </c>
      <c r="J54" s="5">
        <v>0</v>
      </c>
      <c r="K54" s="5">
        <v>0</v>
      </c>
      <c r="L54" s="3">
        <v>249625.16</v>
      </c>
    </row>
    <row r="55" spans="1:12" hidden="1" x14ac:dyDescent="0.25">
      <c r="A55" s="5" t="s">
        <v>84</v>
      </c>
      <c r="B55" s="5" t="s">
        <v>17</v>
      </c>
      <c r="C55" s="5" t="s">
        <v>37</v>
      </c>
      <c r="D55" s="6" t="s">
        <v>38</v>
      </c>
      <c r="E55" s="5" t="s">
        <v>51</v>
      </c>
      <c r="F55" s="5">
        <v>0</v>
      </c>
      <c r="G55" s="5">
        <v>74827.8</v>
      </c>
      <c r="H55" s="5">
        <v>168337.8</v>
      </c>
      <c r="I55" s="5">
        <v>0</v>
      </c>
      <c r="J55" s="5">
        <v>0</v>
      </c>
      <c r="K55" s="5">
        <v>0</v>
      </c>
      <c r="L55" s="3">
        <v>243165.6</v>
      </c>
    </row>
    <row r="56" spans="1:12" hidden="1" x14ac:dyDescent="0.25">
      <c r="A56" s="5" t="s">
        <v>85</v>
      </c>
      <c r="B56" s="5" t="s">
        <v>46</v>
      </c>
      <c r="C56" s="5" t="s">
        <v>18</v>
      </c>
      <c r="D56" s="6" t="s">
        <v>19</v>
      </c>
      <c r="E56" s="5" t="s">
        <v>51</v>
      </c>
      <c r="F56" s="5">
        <v>104415.12</v>
      </c>
      <c r="G56" s="5">
        <v>99948.75</v>
      </c>
      <c r="H56" s="5">
        <v>0</v>
      </c>
      <c r="I56" s="5">
        <v>0</v>
      </c>
      <c r="J56" s="5">
        <v>32765</v>
      </c>
      <c r="K56" s="5">
        <v>0</v>
      </c>
      <c r="L56" s="3">
        <v>237128.87</v>
      </c>
    </row>
    <row r="57" spans="1:12" hidden="1" x14ac:dyDescent="0.25">
      <c r="A57" s="5" t="s">
        <v>86</v>
      </c>
      <c r="B57" s="5" t="s">
        <v>17</v>
      </c>
      <c r="C57" s="5" t="s">
        <v>18</v>
      </c>
      <c r="D57" s="6" t="s">
        <v>19</v>
      </c>
      <c r="E57" s="5" t="s">
        <v>15</v>
      </c>
      <c r="F57" s="5">
        <v>115849</v>
      </c>
      <c r="G57" s="5">
        <v>0</v>
      </c>
      <c r="H57" s="5">
        <v>71815.47</v>
      </c>
      <c r="I57" s="5">
        <v>21960</v>
      </c>
      <c r="J57" s="5">
        <v>19632.72</v>
      </c>
      <c r="K57" s="5">
        <v>0</v>
      </c>
      <c r="L57" s="3">
        <v>229257.19</v>
      </c>
    </row>
    <row r="58" spans="1:12" hidden="1" x14ac:dyDescent="0.25">
      <c r="A58" s="5" t="s">
        <v>87</v>
      </c>
      <c r="B58" s="5" t="s">
        <v>17</v>
      </c>
      <c r="C58" s="5" t="s">
        <v>18</v>
      </c>
      <c r="D58" s="6" t="s">
        <v>19</v>
      </c>
      <c r="E58" s="5" t="s">
        <v>15</v>
      </c>
      <c r="F58" s="5">
        <v>227168.4</v>
      </c>
      <c r="G58" s="5">
        <v>0</v>
      </c>
      <c r="H58" s="5">
        <v>0</v>
      </c>
      <c r="I58" s="5"/>
      <c r="J58" s="5"/>
      <c r="K58" s="5">
        <v>0</v>
      </c>
      <c r="L58" s="3">
        <v>227168.4</v>
      </c>
    </row>
    <row r="59" spans="1:12" hidden="1" x14ac:dyDescent="0.25">
      <c r="A59" s="5" t="s">
        <v>88</v>
      </c>
      <c r="B59" s="5" t="s">
        <v>17</v>
      </c>
      <c r="C59" s="5" t="s">
        <v>14</v>
      </c>
      <c r="D59" s="6">
        <v>0</v>
      </c>
      <c r="E59" s="5" t="s">
        <v>15</v>
      </c>
      <c r="F59" s="5">
        <v>0</v>
      </c>
      <c r="G59" s="5">
        <v>280</v>
      </c>
      <c r="H59" s="5">
        <v>0</v>
      </c>
      <c r="I59" s="5">
        <v>0</v>
      </c>
      <c r="J59" s="5">
        <v>179336.25</v>
      </c>
      <c r="K59" s="5">
        <v>0</v>
      </c>
      <c r="L59" s="3">
        <v>179616.25</v>
      </c>
    </row>
    <row r="60" spans="1:12" hidden="1" x14ac:dyDescent="0.25">
      <c r="A60" s="5" t="s">
        <v>89</v>
      </c>
      <c r="B60" s="5" t="s">
        <v>17</v>
      </c>
      <c r="C60" s="5" t="s">
        <v>37</v>
      </c>
      <c r="D60" s="6" t="s">
        <v>38</v>
      </c>
      <c r="E60" s="5" t="s">
        <v>15</v>
      </c>
      <c r="F60" s="5">
        <v>0</v>
      </c>
      <c r="G60" s="5">
        <v>88100</v>
      </c>
      <c r="H60" s="5">
        <v>70802</v>
      </c>
      <c r="I60" s="5">
        <v>20385</v>
      </c>
      <c r="J60" s="5">
        <v>0</v>
      </c>
      <c r="K60" s="5">
        <v>0</v>
      </c>
      <c r="L60" s="3">
        <v>179287</v>
      </c>
    </row>
    <row r="61" spans="1:12" hidden="1" x14ac:dyDescent="0.25">
      <c r="A61" s="5" t="s">
        <v>90</v>
      </c>
      <c r="B61" s="5" t="s">
        <v>17</v>
      </c>
      <c r="C61" s="5" t="s">
        <v>37</v>
      </c>
      <c r="D61" s="6" t="s">
        <v>38</v>
      </c>
      <c r="E61" s="5" t="s">
        <v>15</v>
      </c>
      <c r="F61" s="5">
        <v>0</v>
      </c>
      <c r="G61" s="5">
        <v>170910.17</v>
      </c>
      <c r="H61" s="5">
        <v>91</v>
      </c>
      <c r="I61" s="5"/>
      <c r="J61" s="5"/>
      <c r="K61" s="5">
        <v>0</v>
      </c>
      <c r="L61" s="3">
        <v>171001.17</v>
      </c>
    </row>
    <row r="62" spans="1:12" hidden="1" x14ac:dyDescent="0.25">
      <c r="A62" s="5" t="s">
        <v>91</v>
      </c>
      <c r="B62" s="5">
        <v>0</v>
      </c>
      <c r="C62" s="5" t="s">
        <v>92</v>
      </c>
      <c r="D62" s="6">
        <v>0</v>
      </c>
      <c r="E62" s="5" t="s">
        <v>15</v>
      </c>
      <c r="F62" s="5">
        <v>0</v>
      </c>
      <c r="G62" s="5">
        <v>7279</v>
      </c>
      <c r="H62" s="5">
        <v>37736.300000000003</v>
      </c>
      <c r="I62" s="5">
        <v>1628.05</v>
      </c>
      <c r="J62" s="5">
        <v>123507.45</v>
      </c>
      <c r="K62" s="5">
        <v>0</v>
      </c>
      <c r="L62" s="3">
        <v>170150.8</v>
      </c>
    </row>
    <row r="63" spans="1:12" hidden="1" x14ac:dyDescent="0.25">
      <c r="A63" s="5" t="s">
        <v>93</v>
      </c>
      <c r="B63" s="5" t="s">
        <v>46</v>
      </c>
      <c r="C63" s="5" t="s">
        <v>37</v>
      </c>
      <c r="D63" s="6" t="s">
        <v>38</v>
      </c>
      <c r="E63" s="5" t="s">
        <v>34</v>
      </c>
      <c r="F63" s="5">
        <v>49050</v>
      </c>
      <c r="G63" s="5">
        <v>119142.16</v>
      </c>
      <c r="H63" s="5">
        <v>0</v>
      </c>
      <c r="I63" s="5">
        <v>0</v>
      </c>
      <c r="J63" s="5">
        <v>989.75</v>
      </c>
      <c r="K63" s="5">
        <v>0</v>
      </c>
      <c r="L63" s="3">
        <v>169181.91</v>
      </c>
    </row>
    <row r="64" spans="1:12" hidden="1" x14ac:dyDescent="0.25">
      <c r="A64" s="5" t="s">
        <v>94</v>
      </c>
      <c r="B64" s="5" t="s">
        <v>17</v>
      </c>
      <c r="C64" s="5" t="s">
        <v>18</v>
      </c>
      <c r="D64" s="6" t="s">
        <v>19</v>
      </c>
      <c r="E64" s="5" t="s">
        <v>15</v>
      </c>
      <c r="F64" s="5">
        <v>164444.1</v>
      </c>
      <c r="G64" s="5">
        <v>0</v>
      </c>
      <c r="H64" s="5">
        <v>0</v>
      </c>
      <c r="I64" s="5">
        <v>0</v>
      </c>
      <c r="J64" s="5">
        <v>1.7</v>
      </c>
      <c r="K64" s="5">
        <v>0</v>
      </c>
      <c r="L64" s="3">
        <v>164445.79999999999</v>
      </c>
    </row>
    <row r="65" spans="1:12" hidden="1" x14ac:dyDescent="0.25">
      <c r="A65" s="5" t="s">
        <v>95</v>
      </c>
      <c r="B65" s="5" t="s">
        <v>17</v>
      </c>
      <c r="C65" s="5" t="s">
        <v>18</v>
      </c>
      <c r="D65" s="6" t="s">
        <v>47</v>
      </c>
      <c r="E65" s="5" t="s">
        <v>15</v>
      </c>
      <c r="F65" s="5">
        <v>162200</v>
      </c>
      <c r="G65" s="5"/>
      <c r="H65" s="5">
        <v>94</v>
      </c>
      <c r="I65" s="5">
        <v>0</v>
      </c>
      <c r="J65" s="5">
        <v>1.4</v>
      </c>
      <c r="K65" s="5">
        <v>0</v>
      </c>
      <c r="L65" s="3">
        <v>162295.4</v>
      </c>
    </row>
    <row r="66" spans="1:12" x14ac:dyDescent="0.25">
      <c r="A66" s="5" t="s">
        <v>96</v>
      </c>
      <c r="B66" s="5" t="s">
        <v>17</v>
      </c>
      <c r="C66" s="5" t="s">
        <v>33</v>
      </c>
      <c r="D66" s="6" t="s">
        <v>31</v>
      </c>
      <c r="E66" s="5" t="s">
        <v>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161595.95000000001</v>
      </c>
      <c r="L66" s="3">
        <v>161595.95000000001</v>
      </c>
    </row>
    <row r="67" spans="1:12" hidden="1" x14ac:dyDescent="0.25">
      <c r="A67" s="5" t="s">
        <v>97</v>
      </c>
      <c r="B67" s="5" t="s">
        <v>46</v>
      </c>
      <c r="C67" s="5" t="s">
        <v>18</v>
      </c>
      <c r="D67" s="6" t="s">
        <v>98</v>
      </c>
      <c r="E67" s="5" t="s">
        <v>34</v>
      </c>
      <c r="F67" s="5">
        <v>0</v>
      </c>
      <c r="G67" s="5">
        <v>0</v>
      </c>
      <c r="H67" s="5">
        <v>0</v>
      </c>
      <c r="I67" s="5">
        <v>0</v>
      </c>
      <c r="J67" s="5">
        <v>160893.96</v>
      </c>
      <c r="K67" s="5">
        <v>0</v>
      </c>
      <c r="L67" s="3">
        <v>160893.96</v>
      </c>
    </row>
    <row r="68" spans="1:12" hidden="1" x14ac:dyDescent="0.25">
      <c r="A68" s="5" t="s">
        <v>99</v>
      </c>
      <c r="B68" s="5">
        <v>0</v>
      </c>
      <c r="C68" s="5" t="s">
        <v>18</v>
      </c>
      <c r="D68" s="6" t="s">
        <v>21</v>
      </c>
      <c r="E68" s="5" t="s">
        <v>15</v>
      </c>
      <c r="F68" s="5">
        <v>126787.88</v>
      </c>
      <c r="G68" s="5">
        <v>0</v>
      </c>
      <c r="H68" s="5">
        <v>0</v>
      </c>
      <c r="I68" s="5"/>
      <c r="J68" s="5">
        <v>32757.99</v>
      </c>
      <c r="K68" s="5">
        <v>0</v>
      </c>
      <c r="L68" s="3">
        <v>159545.87</v>
      </c>
    </row>
    <row r="69" spans="1:12" hidden="1" x14ac:dyDescent="0.25">
      <c r="A69" s="5" t="s">
        <v>100</v>
      </c>
      <c r="B69" s="5" t="s">
        <v>17</v>
      </c>
      <c r="C69" s="5" t="s">
        <v>18</v>
      </c>
      <c r="D69" s="6" t="s">
        <v>31</v>
      </c>
      <c r="E69" s="5" t="s">
        <v>15</v>
      </c>
      <c r="F69" s="5">
        <v>0</v>
      </c>
      <c r="G69" s="5">
        <v>152000</v>
      </c>
      <c r="H69" s="5">
        <v>0</v>
      </c>
      <c r="I69" s="5">
        <v>0</v>
      </c>
      <c r="J69" s="5">
        <v>0</v>
      </c>
      <c r="K69" s="5">
        <v>0</v>
      </c>
      <c r="L69" s="3">
        <v>152000</v>
      </c>
    </row>
    <row r="70" spans="1:12" hidden="1" x14ac:dyDescent="0.25">
      <c r="A70" s="5" t="s">
        <v>101</v>
      </c>
      <c r="B70" s="5" t="s">
        <v>46</v>
      </c>
      <c r="C70" s="5" t="s">
        <v>37</v>
      </c>
      <c r="D70" s="6" t="s">
        <v>38</v>
      </c>
      <c r="E70" s="5" t="s">
        <v>79</v>
      </c>
      <c r="F70" s="5">
        <v>0</v>
      </c>
      <c r="G70" s="5">
        <v>22361.4</v>
      </c>
      <c r="H70" s="5">
        <v>3408.95</v>
      </c>
      <c r="I70" s="5">
        <v>2686.56</v>
      </c>
      <c r="J70" s="5">
        <v>121751.56</v>
      </c>
      <c r="K70" s="5">
        <v>0</v>
      </c>
      <c r="L70" s="3">
        <v>150208.47</v>
      </c>
    </row>
    <row r="71" spans="1:12" hidden="1" x14ac:dyDescent="0.25">
      <c r="A71" s="5" t="s">
        <v>102</v>
      </c>
      <c r="B71" s="5" t="s">
        <v>17</v>
      </c>
      <c r="C71" s="5" t="s">
        <v>18</v>
      </c>
      <c r="D71" s="6" t="s">
        <v>19</v>
      </c>
      <c r="E71" s="5" t="s">
        <v>15</v>
      </c>
      <c r="F71" s="5">
        <v>118768</v>
      </c>
      <c r="G71" s="5">
        <v>0</v>
      </c>
      <c r="H71" s="5">
        <v>0</v>
      </c>
      <c r="I71" s="5">
        <v>0</v>
      </c>
      <c r="J71" s="5">
        <v>30545.9</v>
      </c>
      <c r="K71" s="5">
        <v>0</v>
      </c>
      <c r="L71" s="3">
        <v>149313.9</v>
      </c>
    </row>
    <row r="72" spans="1:12" hidden="1" x14ac:dyDescent="0.25">
      <c r="A72" s="5" t="s">
        <v>103</v>
      </c>
      <c r="B72" s="5" t="s">
        <v>17</v>
      </c>
      <c r="C72" s="5" t="s">
        <v>18</v>
      </c>
      <c r="D72" s="6" t="s">
        <v>19</v>
      </c>
      <c r="E72" s="5" t="s">
        <v>15</v>
      </c>
      <c r="F72" s="5">
        <v>0</v>
      </c>
      <c r="G72" s="5">
        <v>124488</v>
      </c>
      <c r="H72" s="5">
        <v>0</v>
      </c>
      <c r="I72" s="5">
        <v>0</v>
      </c>
      <c r="J72" s="5">
        <v>0</v>
      </c>
      <c r="K72" s="5">
        <v>0</v>
      </c>
      <c r="L72" s="3">
        <v>124488</v>
      </c>
    </row>
    <row r="73" spans="1:12" hidden="1" x14ac:dyDescent="0.25">
      <c r="A73" s="5" t="s">
        <v>104</v>
      </c>
      <c r="B73" s="5" t="s">
        <v>17</v>
      </c>
      <c r="C73" s="5" t="s">
        <v>37</v>
      </c>
      <c r="D73" s="6" t="s">
        <v>38</v>
      </c>
      <c r="E73" s="5" t="s">
        <v>15</v>
      </c>
      <c r="F73" s="5">
        <v>0</v>
      </c>
      <c r="G73" s="5">
        <v>0</v>
      </c>
      <c r="H73" s="5">
        <v>0</v>
      </c>
      <c r="I73" s="5">
        <v>0</v>
      </c>
      <c r="J73" s="5">
        <v>118115.35</v>
      </c>
      <c r="K73" s="5">
        <v>0</v>
      </c>
      <c r="L73" s="3">
        <v>118115.35</v>
      </c>
    </row>
    <row r="74" spans="1:12" hidden="1" x14ac:dyDescent="0.25">
      <c r="A74" s="5" t="s">
        <v>105</v>
      </c>
      <c r="B74" s="5" t="s">
        <v>46</v>
      </c>
      <c r="C74" s="5" t="s">
        <v>37</v>
      </c>
      <c r="D74" s="6" t="s">
        <v>38</v>
      </c>
      <c r="E74" s="5" t="s">
        <v>51</v>
      </c>
      <c r="F74" s="5">
        <v>0</v>
      </c>
      <c r="G74" s="5">
        <v>106070</v>
      </c>
      <c r="H74" s="5">
        <v>0</v>
      </c>
      <c r="I74" s="5">
        <v>0</v>
      </c>
      <c r="J74" s="5">
        <v>0</v>
      </c>
      <c r="K74" s="5">
        <v>0</v>
      </c>
      <c r="L74" s="3">
        <v>106070</v>
      </c>
    </row>
    <row r="75" spans="1:12" hidden="1" x14ac:dyDescent="0.25">
      <c r="A75" s="5" t="s">
        <v>106</v>
      </c>
      <c r="B75" s="5" t="s">
        <v>46</v>
      </c>
      <c r="C75" s="5" t="s">
        <v>18</v>
      </c>
      <c r="D75" s="6" t="s">
        <v>19</v>
      </c>
      <c r="E75" s="5" t="s">
        <v>34</v>
      </c>
      <c r="F75" s="5">
        <v>80254.759999999995</v>
      </c>
      <c r="G75" s="5">
        <v>11818.28</v>
      </c>
      <c r="H75" s="5">
        <v>3852.72</v>
      </c>
      <c r="I75" s="5">
        <v>0</v>
      </c>
      <c r="J75" s="5">
        <v>8894.7199999999993</v>
      </c>
      <c r="K75" s="5">
        <v>0</v>
      </c>
      <c r="L75" s="3">
        <v>104820.48</v>
      </c>
    </row>
    <row r="76" spans="1:12" hidden="1" x14ac:dyDescent="0.25">
      <c r="A76" s="5" t="s">
        <v>107</v>
      </c>
      <c r="B76" s="5" t="s">
        <v>46</v>
      </c>
      <c r="C76" s="5" t="s">
        <v>18</v>
      </c>
      <c r="D76" s="6" t="s">
        <v>31</v>
      </c>
      <c r="E76" s="5" t="s">
        <v>51</v>
      </c>
      <c r="F76" s="5">
        <v>51280</v>
      </c>
      <c r="G76" s="5">
        <v>45660</v>
      </c>
      <c r="H76" s="5">
        <v>0</v>
      </c>
      <c r="I76" s="5">
        <v>0</v>
      </c>
      <c r="J76" s="5">
        <v>5019.63</v>
      </c>
      <c r="K76" s="5">
        <v>0</v>
      </c>
      <c r="L76" s="3">
        <v>101959.63</v>
      </c>
    </row>
    <row r="77" spans="1:12" hidden="1" x14ac:dyDescent="0.25">
      <c r="A77" s="5" t="s">
        <v>108</v>
      </c>
      <c r="B77" s="5" t="s">
        <v>17</v>
      </c>
      <c r="C77" s="5" t="s">
        <v>37</v>
      </c>
      <c r="D77" s="6" t="s">
        <v>38</v>
      </c>
      <c r="E77" s="5" t="s">
        <v>15</v>
      </c>
      <c r="F77" s="5">
        <v>99529.4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3">
        <v>99529.4</v>
      </c>
    </row>
    <row r="78" spans="1:12" hidden="1" x14ac:dyDescent="0.25">
      <c r="A78" s="5" t="s">
        <v>109</v>
      </c>
      <c r="B78" s="5" t="s">
        <v>17</v>
      </c>
      <c r="C78" s="5" t="s">
        <v>18</v>
      </c>
      <c r="D78" s="6" t="s">
        <v>19</v>
      </c>
      <c r="E78" s="5" t="s">
        <v>15</v>
      </c>
      <c r="F78" s="5">
        <v>0</v>
      </c>
      <c r="G78" s="5">
        <v>0</v>
      </c>
      <c r="H78" s="5">
        <v>0</v>
      </c>
      <c r="I78" s="5">
        <v>0</v>
      </c>
      <c r="J78" s="5">
        <v>90199.4</v>
      </c>
      <c r="K78" s="5">
        <v>0</v>
      </c>
      <c r="L78" s="3">
        <v>90199.4</v>
      </c>
    </row>
    <row r="79" spans="1:12" hidden="1" x14ac:dyDescent="0.25">
      <c r="A79" s="5" t="s">
        <v>110</v>
      </c>
      <c r="B79" s="5" t="s">
        <v>46</v>
      </c>
      <c r="C79" s="5" t="s">
        <v>37</v>
      </c>
      <c r="D79" s="6" t="s">
        <v>38</v>
      </c>
      <c r="E79" s="5" t="s">
        <v>51</v>
      </c>
      <c r="F79" s="5">
        <v>0</v>
      </c>
      <c r="G79" s="5">
        <v>89600</v>
      </c>
      <c r="H79" s="5">
        <v>0</v>
      </c>
      <c r="I79" s="5">
        <v>0</v>
      </c>
      <c r="J79" s="5">
        <v>0</v>
      </c>
      <c r="K79" s="5">
        <v>0</v>
      </c>
      <c r="L79" s="3">
        <v>89600</v>
      </c>
    </row>
    <row r="80" spans="1:12" hidden="1" x14ac:dyDescent="0.25">
      <c r="A80" s="5" t="s">
        <v>111</v>
      </c>
      <c r="B80" s="5" t="s">
        <v>17</v>
      </c>
      <c r="C80" s="5" t="s">
        <v>18</v>
      </c>
      <c r="D80" s="6" t="s">
        <v>21</v>
      </c>
      <c r="E80" s="5" t="s">
        <v>15</v>
      </c>
      <c r="F80" s="5">
        <v>76196.45</v>
      </c>
      <c r="G80" s="5">
        <v>1.25</v>
      </c>
      <c r="H80" s="5">
        <v>0</v>
      </c>
      <c r="I80" s="5">
        <v>0</v>
      </c>
      <c r="J80" s="5">
        <v>12144.61</v>
      </c>
      <c r="K80" s="5">
        <v>0</v>
      </c>
      <c r="L80" s="3">
        <v>88342.31</v>
      </c>
    </row>
    <row r="81" spans="1:12" hidden="1" x14ac:dyDescent="0.25">
      <c r="A81" s="5" t="s">
        <v>112</v>
      </c>
      <c r="B81" s="5">
        <v>0</v>
      </c>
      <c r="C81" s="5" t="s">
        <v>37</v>
      </c>
      <c r="D81" s="6" t="s">
        <v>38</v>
      </c>
      <c r="E81" s="5" t="s">
        <v>15</v>
      </c>
      <c r="F81" s="5">
        <v>0</v>
      </c>
      <c r="G81" s="5">
        <v>87014.1</v>
      </c>
      <c r="H81" s="5">
        <v>0</v>
      </c>
      <c r="I81" s="5">
        <v>0</v>
      </c>
      <c r="J81" s="5">
        <v>0</v>
      </c>
      <c r="K81" s="5">
        <v>0</v>
      </c>
      <c r="L81" s="3">
        <v>87014.1</v>
      </c>
    </row>
    <row r="82" spans="1:12" hidden="1" x14ac:dyDescent="0.25">
      <c r="A82" s="5" t="s">
        <v>113</v>
      </c>
      <c r="B82" s="5" t="s">
        <v>17</v>
      </c>
      <c r="C82" s="5" t="s">
        <v>18</v>
      </c>
      <c r="D82" s="6" t="s">
        <v>21</v>
      </c>
      <c r="E82" s="5" t="s">
        <v>15</v>
      </c>
      <c r="F82" s="5">
        <v>86999.15</v>
      </c>
      <c r="G82" s="5">
        <v>0</v>
      </c>
      <c r="H82" s="5">
        <v>0</v>
      </c>
      <c r="I82" s="5"/>
      <c r="J82" s="5"/>
      <c r="K82" s="5">
        <v>0</v>
      </c>
      <c r="L82" s="3">
        <v>86999.499999999985</v>
      </c>
    </row>
    <row r="83" spans="1:12" hidden="1" x14ac:dyDescent="0.25">
      <c r="A83" s="5" t="s">
        <v>114</v>
      </c>
      <c r="B83" s="5" t="s">
        <v>46</v>
      </c>
      <c r="C83" s="5" t="s">
        <v>37</v>
      </c>
      <c r="D83" s="6" t="s">
        <v>38</v>
      </c>
      <c r="E83" s="5" t="s">
        <v>51</v>
      </c>
      <c r="F83" s="5">
        <v>0</v>
      </c>
      <c r="G83" s="5">
        <v>84077.3</v>
      </c>
      <c r="H83" s="5">
        <v>74.3</v>
      </c>
      <c r="I83" s="5">
        <v>0</v>
      </c>
      <c r="J83" s="5">
        <v>0</v>
      </c>
      <c r="K83" s="5">
        <v>0</v>
      </c>
      <c r="L83" s="3">
        <v>84151.6</v>
      </c>
    </row>
    <row r="84" spans="1:12" hidden="1" x14ac:dyDescent="0.25">
      <c r="A84" s="5" t="s">
        <v>115</v>
      </c>
      <c r="B84" s="5" t="s">
        <v>17</v>
      </c>
      <c r="C84" s="5" t="s">
        <v>37</v>
      </c>
      <c r="D84" s="6" t="s">
        <v>38</v>
      </c>
      <c r="E84" s="5" t="s">
        <v>15</v>
      </c>
      <c r="F84" s="5">
        <v>0</v>
      </c>
      <c r="G84" s="5">
        <v>52467.54</v>
      </c>
      <c r="H84" s="5">
        <v>31093.95</v>
      </c>
      <c r="I84" s="5">
        <v>448.95</v>
      </c>
      <c r="J84" s="5">
        <v>0</v>
      </c>
      <c r="K84" s="5">
        <v>0</v>
      </c>
      <c r="L84" s="3">
        <v>84010.44</v>
      </c>
    </row>
    <row r="85" spans="1:12" hidden="1" x14ac:dyDescent="0.25">
      <c r="A85" s="5" t="s">
        <v>116</v>
      </c>
      <c r="B85" s="5">
        <v>0</v>
      </c>
      <c r="C85" s="5" t="s">
        <v>37</v>
      </c>
      <c r="D85" s="6" t="s">
        <v>38</v>
      </c>
      <c r="E85" s="5" t="s">
        <v>15</v>
      </c>
      <c r="F85" s="5">
        <v>0</v>
      </c>
      <c r="G85" s="5">
        <v>0</v>
      </c>
      <c r="H85" s="5">
        <v>36201</v>
      </c>
      <c r="I85" s="5">
        <v>27355</v>
      </c>
      <c r="J85" s="5">
        <v>11184.04</v>
      </c>
      <c r="K85" s="5">
        <v>0</v>
      </c>
      <c r="L85" s="3">
        <v>74740.040000000008</v>
      </c>
    </row>
    <row r="86" spans="1:12" hidden="1" x14ac:dyDescent="0.25">
      <c r="A86" s="5" t="s">
        <v>117</v>
      </c>
      <c r="B86" s="5" t="s">
        <v>17</v>
      </c>
      <c r="C86" s="5" t="s">
        <v>18</v>
      </c>
      <c r="D86" s="6">
        <v>0</v>
      </c>
      <c r="E86" s="5" t="s">
        <v>15</v>
      </c>
      <c r="F86" s="5">
        <v>70650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3">
        <v>70650</v>
      </c>
    </row>
    <row r="87" spans="1:12" hidden="1" x14ac:dyDescent="0.25">
      <c r="A87" s="5" t="s">
        <v>118</v>
      </c>
      <c r="B87" s="5" t="s">
        <v>17</v>
      </c>
      <c r="C87" s="5" t="s">
        <v>37</v>
      </c>
      <c r="D87" s="6" t="s">
        <v>38</v>
      </c>
      <c r="E87" s="5" t="s">
        <v>15</v>
      </c>
      <c r="F87" s="5">
        <v>0</v>
      </c>
      <c r="G87" s="5">
        <v>67725</v>
      </c>
      <c r="H87" s="5">
        <v>1245</v>
      </c>
      <c r="I87" s="5">
        <v>0</v>
      </c>
      <c r="J87" s="5">
        <v>0</v>
      </c>
      <c r="K87" s="5">
        <v>0</v>
      </c>
      <c r="L87" s="3">
        <v>68970</v>
      </c>
    </row>
    <row r="88" spans="1:12" hidden="1" x14ac:dyDescent="0.25">
      <c r="A88" s="5" t="s">
        <v>119</v>
      </c>
      <c r="B88" s="5" t="s">
        <v>17</v>
      </c>
      <c r="C88" s="5" t="s">
        <v>37</v>
      </c>
      <c r="D88" s="6" t="s">
        <v>38</v>
      </c>
      <c r="E88" s="5" t="s">
        <v>15</v>
      </c>
      <c r="F88" s="5">
        <v>0</v>
      </c>
      <c r="G88" s="5">
        <v>67537.850000000006</v>
      </c>
      <c r="H88" s="5">
        <v>0.24</v>
      </c>
      <c r="I88" s="5">
        <v>0</v>
      </c>
      <c r="J88" s="5">
        <v>0</v>
      </c>
      <c r="K88" s="5">
        <v>0</v>
      </c>
      <c r="L88" s="3">
        <v>67538.090000000011</v>
      </c>
    </row>
    <row r="89" spans="1:12" hidden="1" x14ac:dyDescent="0.25">
      <c r="A89" s="5" t="s">
        <v>120</v>
      </c>
      <c r="B89" s="5" t="s">
        <v>17</v>
      </c>
      <c r="C89" s="5" t="s">
        <v>18</v>
      </c>
      <c r="D89" s="6">
        <v>0</v>
      </c>
      <c r="E89" s="5" t="s">
        <v>15</v>
      </c>
      <c r="F89" s="5">
        <v>64658.25</v>
      </c>
      <c r="G89" s="5">
        <v>0</v>
      </c>
      <c r="H89" s="5">
        <v>0.5</v>
      </c>
      <c r="I89" s="5">
        <v>0</v>
      </c>
      <c r="J89" s="5">
        <v>17.5</v>
      </c>
      <c r="K89" s="5">
        <v>0</v>
      </c>
      <c r="L89" s="3">
        <v>64676.25</v>
      </c>
    </row>
    <row r="90" spans="1:12" x14ac:dyDescent="0.25">
      <c r="A90" s="5" t="s">
        <v>121</v>
      </c>
      <c r="B90" s="5" t="s">
        <v>46</v>
      </c>
      <c r="C90" s="5" t="s">
        <v>37</v>
      </c>
      <c r="D90" s="6" t="s">
        <v>38</v>
      </c>
      <c r="E90" s="5" t="s">
        <v>51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64142.23</v>
      </c>
      <c r="L90" s="3">
        <v>64142.23</v>
      </c>
    </row>
    <row r="91" spans="1:12" hidden="1" x14ac:dyDescent="0.25">
      <c r="A91" s="5" t="s">
        <v>122</v>
      </c>
      <c r="B91" s="5" t="s">
        <v>46</v>
      </c>
      <c r="C91" s="5" t="s">
        <v>37</v>
      </c>
      <c r="D91" s="6" t="s">
        <v>38</v>
      </c>
      <c r="E91" s="5" t="s">
        <v>34</v>
      </c>
      <c r="F91" s="5">
        <v>0</v>
      </c>
      <c r="G91" s="5">
        <v>61519.87</v>
      </c>
      <c r="H91" s="5">
        <v>0</v>
      </c>
      <c r="I91" s="5">
        <v>0</v>
      </c>
      <c r="J91" s="5">
        <v>0</v>
      </c>
      <c r="K91" s="5">
        <v>0</v>
      </c>
      <c r="L91" s="3">
        <v>61519.87</v>
      </c>
    </row>
    <row r="92" spans="1:12" hidden="1" x14ac:dyDescent="0.25">
      <c r="A92" s="5" t="s">
        <v>123</v>
      </c>
      <c r="B92" s="5" t="s">
        <v>17</v>
      </c>
      <c r="C92" s="5" t="s">
        <v>18</v>
      </c>
      <c r="D92" s="6">
        <v>0</v>
      </c>
      <c r="E92" s="5" t="s">
        <v>15</v>
      </c>
      <c r="F92" s="5">
        <v>0</v>
      </c>
      <c r="G92" s="5">
        <v>60121.599999999999</v>
      </c>
      <c r="H92" s="5">
        <v>0</v>
      </c>
      <c r="I92" s="5">
        <v>0</v>
      </c>
      <c r="J92" s="5">
        <v>0</v>
      </c>
      <c r="K92" s="5">
        <v>0</v>
      </c>
      <c r="L92" s="3">
        <v>60121.599999999999</v>
      </c>
    </row>
    <row r="93" spans="1:12" hidden="1" x14ac:dyDescent="0.25">
      <c r="A93" s="5" t="s">
        <v>124</v>
      </c>
      <c r="B93" s="5" t="s">
        <v>17</v>
      </c>
      <c r="C93" s="5" t="s">
        <v>37</v>
      </c>
      <c r="D93" s="6" t="s">
        <v>38</v>
      </c>
      <c r="E93" s="5" t="s">
        <v>15</v>
      </c>
      <c r="F93" s="5">
        <v>0</v>
      </c>
      <c r="G93" s="5">
        <v>0</v>
      </c>
      <c r="H93" s="5">
        <v>42435</v>
      </c>
      <c r="I93" s="5">
        <v>0</v>
      </c>
      <c r="J93" s="5">
        <v>17342.5</v>
      </c>
      <c r="K93" s="5">
        <v>0</v>
      </c>
      <c r="L93" s="3">
        <v>59777.5</v>
      </c>
    </row>
    <row r="94" spans="1:12" hidden="1" x14ac:dyDescent="0.25">
      <c r="A94" s="5" t="s">
        <v>125</v>
      </c>
      <c r="B94" s="5" t="s">
        <v>46</v>
      </c>
      <c r="C94" s="5" t="s">
        <v>18</v>
      </c>
      <c r="D94" s="6" t="s">
        <v>126</v>
      </c>
      <c r="E94" s="5" t="s">
        <v>127</v>
      </c>
      <c r="F94" s="5">
        <v>7728</v>
      </c>
      <c r="G94" s="5">
        <v>30378.78</v>
      </c>
      <c r="H94" s="5"/>
      <c r="I94" s="5">
        <v>19837.45</v>
      </c>
      <c r="J94" s="5">
        <v>0</v>
      </c>
      <c r="K94" s="5">
        <v>0</v>
      </c>
      <c r="L94" s="3">
        <v>57944.23</v>
      </c>
    </row>
    <row r="95" spans="1:12" x14ac:dyDescent="0.25">
      <c r="A95" s="5" t="s">
        <v>128</v>
      </c>
      <c r="B95" s="5">
        <v>0</v>
      </c>
      <c r="C95" s="5" t="s">
        <v>37</v>
      </c>
      <c r="D95" s="6" t="s">
        <v>38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55000</v>
      </c>
      <c r="L95" s="3">
        <v>55000</v>
      </c>
    </row>
    <row r="96" spans="1:12" hidden="1" x14ac:dyDescent="0.25">
      <c r="A96" s="5" t="s">
        <v>129</v>
      </c>
      <c r="B96" s="5" t="s">
        <v>17</v>
      </c>
      <c r="C96" s="5" t="s">
        <v>37</v>
      </c>
      <c r="D96" s="6" t="s">
        <v>38</v>
      </c>
      <c r="E96" s="5" t="s">
        <v>15</v>
      </c>
      <c r="F96" s="5">
        <v>0</v>
      </c>
      <c r="G96" s="5">
        <v>52538.13</v>
      </c>
      <c r="H96" s="5">
        <v>0</v>
      </c>
      <c r="I96" s="5">
        <v>0</v>
      </c>
      <c r="J96" s="5">
        <v>0</v>
      </c>
      <c r="K96" s="5">
        <v>0</v>
      </c>
      <c r="L96" s="3">
        <v>52538.13</v>
      </c>
    </row>
    <row r="97" spans="1:12" hidden="1" x14ac:dyDescent="0.25">
      <c r="A97" s="5" t="s">
        <v>130</v>
      </c>
      <c r="B97" s="5" t="s">
        <v>46</v>
      </c>
      <c r="C97" s="5" t="s">
        <v>37</v>
      </c>
      <c r="D97" s="6" t="s">
        <v>38</v>
      </c>
      <c r="E97" s="5" t="s">
        <v>127</v>
      </c>
      <c r="F97" s="5">
        <v>0</v>
      </c>
      <c r="G97" s="5">
        <v>52439.33</v>
      </c>
      <c r="H97" s="5">
        <v>0</v>
      </c>
      <c r="I97" s="5">
        <v>0</v>
      </c>
      <c r="J97" s="5">
        <v>0</v>
      </c>
      <c r="K97" s="5">
        <v>0</v>
      </c>
      <c r="L97" s="3">
        <v>52439.33</v>
      </c>
    </row>
    <row r="98" spans="1:12" hidden="1" x14ac:dyDescent="0.25">
      <c r="A98" s="5" t="s">
        <v>131</v>
      </c>
      <c r="B98" s="5" t="s">
        <v>46</v>
      </c>
      <c r="C98" s="5" t="s">
        <v>18</v>
      </c>
      <c r="D98" s="6" t="s">
        <v>19</v>
      </c>
      <c r="E98" s="5" t="s">
        <v>79</v>
      </c>
      <c r="F98" s="5">
        <v>12350</v>
      </c>
      <c r="G98" s="5">
        <v>0</v>
      </c>
      <c r="H98" s="5">
        <v>0</v>
      </c>
      <c r="I98" s="5">
        <v>38659.54</v>
      </c>
      <c r="J98" s="5">
        <v>0</v>
      </c>
      <c r="K98" s="5">
        <v>0</v>
      </c>
      <c r="L98" s="3">
        <v>51009.54</v>
      </c>
    </row>
    <row r="99" spans="1:12" hidden="1" x14ac:dyDescent="0.25">
      <c r="A99" s="5" t="s">
        <v>132</v>
      </c>
      <c r="B99" s="5" t="s">
        <v>17</v>
      </c>
      <c r="C99" s="5" t="s">
        <v>37</v>
      </c>
      <c r="D99" s="6" t="s">
        <v>38</v>
      </c>
      <c r="E99" s="5" t="s">
        <v>15</v>
      </c>
      <c r="F99" s="5">
        <v>0</v>
      </c>
      <c r="G99" s="5">
        <v>51000</v>
      </c>
      <c r="H99" s="5">
        <v>0</v>
      </c>
      <c r="I99" s="5">
        <v>0</v>
      </c>
      <c r="J99" s="5">
        <v>0</v>
      </c>
      <c r="K99" s="5">
        <v>0</v>
      </c>
      <c r="L99" s="3">
        <v>51000</v>
      </c>
    </row>
    <row r="100" spans="1:12" x14ac:dyDescent="0.25">
      <c r="A100" s="5" t="s">
        <v>133</v>
      </c>
      <c r="B100" s="5" t="s">
        <v>17</v>
      </c>
      <c r="C100" s="5" t="s">
        <v>37</v>
      </c>
      <c r="D100" s="6" t="s">
        <v>38</v>
      </c>
      <c r="E100" s="5" t="s">
        <v>15</v>
      </c>
      <c r="F100" s="5">
        <v>0</v>
      </c>
      <c r="G100" s="5">
        <v>0</v>
      </c>
      <c r="H100" s="5">
        <v>150</v>
      </c>
      <c r="I100" s="5">
        <v>0</v>
      </c>
      <c r="J100" s="5">
        <v>0</v>
      </c>
      <c r="K100" s="5">
        <v>50000</v>
      </c>
      <c r="L100" s="3">
        <v>50150</v>
      </c>
    </row>
    <row r="101" spans="1:12" hidden="1" x14ac:dyDescent="0.25">
      <c r="A101" s="5" t="s">
        <v>134</v>
      </c>
      <c r="B101" s="5">
        <v>0</v>
      </c>
      <c r="C101" s="5" t="s">
        <v>92</v>
      </c>
      <c r="D101" s="6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49411.5</v>
      </c>
      <c r="K101" s="5">
        <v>0</v>
      </c>
      <c r="L101" s="3">
        <v>49411.5</v>
      </c>
    </row>
    <row r="102" spans="1:12" hidden="1" x14ac:dyDescent="0.25">
      <c r="A102" s="5" t="s">
        <v>135</v>
      </c>
      <c r="B102" s="5" t="s">
        <v>46</v>
      </c>
      <c r="C102" s="5" t="s">
        <v>37</v>
      </c>
      <c r="D102" s="6" t="s">
        <v>38</v>
      </c>
      <c r="E102" s="5" t="s">
        <v>51</v>
      </c>
      <c r="F102" s="5">
        <v>0</v>
      </c>
      <c r="G102" s="5">
        <v>44635.95</v>
      </c>
      <c r="H102" s="5">
        <v>0</v>
      </c>
      <c r="I102" s="5">
        <v>0</v>
      </c>
      <c r="J102" s="5">
        <v>0</v>
      </c>
      <c r="K102" s="5">
        <v>0</v>
      </c>
      <c r="L102" s="3">
        <v>44635.95</v>
      </c>
    </row>
    <row r="103" spans="1:12" hidden="1" x14ac:dyDescent="0.25">
      <c r="A103" s="5" t="s">
        <v>136</v>
      </c>
      <c r="B103" s="5" t="s">
        <v>17</v>
      </c>
      <c r="C103" s="5" t="s">
        <v>14</v>
      </c>
      <c r="D103" s="6" t="s">
        <v>68</v>
      </c>
      <c r="E103" s="5" t="s">
        <v>15</v>
      </c>
      <c r="F103" s="5">
        <v>0</v>
      </c>
      <c r="G103" s="5">
        <v>0</v>
      </c>
      <c r="H103" s="5">
        <v>0</v>
      </c>
      <c r="I103" s="5">
        <v>0</v>
      </c>
      <c r="J103" s="5">
        <v>43564.56</v>
      </c>
      <c r="K103" s="5">
        <v>0</v>
      </c>
      <c r="L103" s="3">
        <v>43564.56</v>
      </c>
    </row>
    <row r="104" spans="1:12" hidden="1" x14ac:dyDescent="0.25">
      <c r="A104" s="5" t="s">
        <v>137</v>
      </c>
      <c r="B104" s="5" t="s">
        <v>46</v>
      </c>
      <c r="C104" s="5" t="s">
        <v>37</v>
      </c>
      <c r="D104" s="6" t="s">
        <v>38</v>
      </c>
      <c r="E104" s="5" t="s">
        <v>51</v>
      </c>
      <c r="F104" s="5">
        <v>0</v>
      </c>
      <c r="G104" s="5">
        <v>42250</v>
      </c>
      <c r="H104" s="5">
        <v>0</v>
      </c>
      <c r="I104" s="5">
        <v>0</v>
      </c>
      <c r="J104" s="5">
        <v>0</v>
      </c>
      <c r="K104" s="5">
        <v>0</v>
      </c>
      <c r="L104" s="3">
        <v>42250</v>
      </c>
    </row>
    <row r="105" spans="1:12" hidden="1" x14ac:dyDescent="0.25">
      <c r="A105" s="5" t="s">
        <v>138</v>
      </c>
      <c r="B105" s="5" t="s">
        <v>17</v>
      </c>
      <c r="C105" s="5" t="s">
        <v>14</v>
      </c>
      <c r="D105" s="6" t="s">
        <v>19</v>
      </c>
      <c r="E105" s="5" t="s">
        <v>41</v>
      </c>
      <c r="F105" s="5">
        <v>0</v>
      </c>
      <c r="G105" s="5">
        <v>0</v>
      </c>
      <c r="H105" s="5">
        <v>0</v>
      </c>
      <c r="I105" s="5">
        <v>33966</v>
      </c>
      <c r="J105" s="5">
        <v>7800</v>
      </c>
      <c r="K105" s="5">
        <v>0</v>
      </c>
      <c r="L105" s="3">
        <v>41766</v>
      </c>
    </row>
    <row r="106" spans="1:12" hidden="1" x14ac:dyDescent="0.25">
      <c r="A106" s="5" t="s">
        <v>139</v>
      </c>
      <c r="B106" s="5" t="s">
        <v>17</v>
      </c>
      <c r="C106" s="5" t="s">
        <v>37</v>
      </c>
      <c r="D106" s="6" t="s">
        <v>38</v>
      </c>
      <c r="E106" s="5" t="s">
        <v>15</v>
      </c>
      <c r="F106" s="5">
        <v>0</v>
      </c>
      <c r="G106" s="5">
        <v>8110</v>
      </c>
      <c r="H106" s="5">
        <v>11590</v>
      </c>
      <c r="I106" s="5">
        <v>9860</v>
      </c>
      <c r="J106" s="5">
        <v>9840</v>
      </c>
      <c r="K106" s="5">
        <v>0</v>
      </c>
      <c r="L106" s="3">
        <v>39400</v>
      </c>
    </row>
    <row r="107" spans="1:12" hidden="1" x14ac:dyDescent="0.25">
      <c r="A107" s="5" t="s">
        <v>140</v>
      </c>
      <c r="B107" s="5" t="s">
        <v>46</v>
      </c>
      <c r="C107" s="5" t="s">
        <v>37</v>
      </c>
      <c r="D107" s="6" t="s">
        <v>38</v>
      </c>
      <c r="E107" s="5" t="s">
        <v>48</v>
      </c>
      <c r="F107" s="5">
        <v>0</v>
      </c>
      <c r="G107" s="5">
        <v>39258.269999999997</v>
      </c>
      <c r="H107" s="5">
        <v>0</v>
      </c>
      <c r="I107" s="5">
        <v>0</v>
      </c>
      <c r="J107" s="5">
        <v>0</v>
      </c>
      <c r="K107" s="5">
        <v>0</v>
      </c>
      <c r="L107" s="3">
        <v>39258.269999999997</v>
      </c>
    </row>
    <row r="108" spans="1:12" hidden="1" x14ac:dyDescent="0.25">
      <c r="A108" s="5" t="s">
        <v>141</v>
      </c>
      <c r="B108" s="5" t="s">
        <v>46</v>
      </c>
      <c r="C108" s="5" t="s">
        <v>37</v>
      </c>
      <c r="D108" s="6" t="s">
        <v>38</v>
      </c>
      <c r="E108" s="5" t="s">
        <v>142</v>
      </c>
      <c r="F108" s="5">
        <v>0</v>
      </c>
      <c r="G108" s="5">
        <v>39003.1</v>
      </c>
      <c r="H108" s="5">
        <v>0</v>
      </c>
      <c r="I108" s="5">
        <v>0</v>
      </c>
      <c r="J108" s="5">
        <v>0</v>
      </c>
      <c r="K108" s="5">
        <v>0</v>
      </c>
      <c r="L108" s="3">
        <v>39003.1</v>
      </c>
    </row>
    <row r="109" spans="1:12" hidden="1" x14ac:dyDescent="0.25">
      <c r="A109" s="5" t="s">
        <v>143</v>
      </c>
      <c r="B109" s="5" t="s">
        <v>46</v>
      </c>
      <c r="C109" s="5" t="s">
        <v>37</v>
      </c>
      <c r="D109" s="6" t="s">
        <v>38</v>
      </c>
      <c r="E109" s="5" t="s">
        <v>51</v>
      </c>
      <c r="F109" s="5">
        <v>0</v>
      </c>
      <c r="G109" s="5">
        <v>35960</v>
      </c>
      <c r="H109" s="5">
        <v>0</v>
      </c>
      <c r="I109" s="5">
        <v>0</v>
      </c>
      <c r="J109" s="5">
        <v>0</v>
      </c>
      <c r="K109" s="5">
        <v>0</v>
      </c>
      <c r="L109" s="3">
        <v>35960</v>
      </c>
    </row>
    <row r="110" spans="1:12" hidden="1" x14ac:dyDescent="0.25">
      <c r="A110" s="5" t="s">
        <v>144</v>
      </c>
      <c r="B110" s="5" t="s">
        <v>46</v>
      </c>
      <c r="C110" s="5" t="s">
        <v>37</v>
      </c>
      <c r="D110" s="6" t="s">
        <v>38</v>
      </c>
      <c r="E110" s="5" t="s">
        <v>51</v>
      </c>
      <c r="F110" s="5">
        <v>0</v>
      </c>
      <c r="G110" s="5">
        <v>32680.720000000001</v>
      </c>
      <c r="H110" s="5">
        <v>40.96</v>
      </c>
      <c r="I110" s="5">
        <v>1356.19</v>
      </c>
      <c r="J110" s="5">
        <v>0</v>
      </c>
      <c r="K110" s="5">
        <v>0</v>
      </c>
      <c r="L110" s="3">
        <v>34077.870000000003</v>
      </c>
    </row>
    <row r="111" spans="1:12" hidden="1" x14ac:dyDescent="0.25">
      <c r="A111" s="5" t="s">
        <v>145</v>
      </c>
      <c r="B111" s="5" t="s">
        <v>17</v>
      </c>
      <c r="C111" s="5" t="s">
        <v>14</v>
      </c>
      <c r="D111" s="6">
        <v>0</v>
      </c>
      <c r="E111" s="5" t="s">
        <v>15</v>
      </c>
      <c r="F111" s="5">
        <v>0</v>
      </c>
      <c r="G111" s="5">
        <v>0</v>
      </c>
      <c r="H111" s="5">
        <v>33239.82</v>
      </c>
      <c r="I111" s="5"/>
      <c r="J111" s="5"/>
      <c r="K111" s="5">
        <v>0</v>
      </c>
      <c r="L111" s="3">
        <v>33239.82</v>
      </c>
    </row>
    <row r="112" spans="1:12" hidden="1" x14ac:dyDescent="0.25">
      <c r="A112" s="5" t="s">
        <v>146</v>
      </c>
      <c r="B112" s="5">
        <v>0</v>
      </c>
      <c r="C112" s="5" t="s">
        <v>37</v>
      </c>
      <c r="D112" s="6" t="s">
        <v>38</v>
      </c>
      <c r="E112" s="5" t="s">
        <v>79</v>
      </c>
      <c r="F112" s="5">
        <v>0</v>
      </c>
      <c r="G112" s="5">
        <v>-40000</v>
      </c>
      <c r="H112" s="5">
        <v>-10000</v>
      </c>
      <c r="I112" s="5">
        <v>0</v>
      </c>
      <c r="J112" s="5">
        <v>80060.69</v>
      </c>
      <c r="K112" s="5">
        <v>0</v>
      </c>
      <c r="L112" s="3">
        <v>30060.69</v>
      </c>
    </row>
    <row r="113" spans="1:12" hidden="1" x14ac:dyDescent="0.25">
      <c r="A113" s="5" t="s">
        <v>147</v>
      </c>
      <c r="B113" s="5" t="s">
        <v>46</v>
      </c>
      <c r="C113" s="5" t="s">
        <v>37</v>
      </c>
      <c r="D113" s="6" t="s">
        <v>38</v>
      </c>
      <c r="E113" s="5" t="s">
        <v>51</v>
      </c>
      <c r="F113" s="5">
        <v>0</v>
      </c>
      <c r="G113" s="5">
        <v>29546.9</v>
      </c>
      <c r="H113" s="5">
        <v>0</v>
      </c>
      <c r="I113" s="5">
        <v>0.8</v>
      </c>
      <c r="J113" s="5">
        <v>0</v>
      </c>
      <c r="K113" s="5">
        <v>0</v>
      </c>
      <c r="L113" s="3">
        <v>29547.7</v>
      </c>
    </row>
    <row r="114" spans="1:12" hidden="1" x14ac:dyDescent="0.25">
      <c r="A114" s="5" t="s">
        <v>148</v>
      </c>
      <c r="B114" s="5" t="s">
        <v>46</v>
      </c>
      <c r="C114" s="5" t="s">
        <v>37</v>
      </c>
      <c r="D114" s="6" t="s">
        <v>38</v>
      </c>
      <c r="E114" s="5" t="s">
        <v>51</v>
      </c>
      <c r="F114" s="5">
        <v>0</v>
      </c>
      <c r="G114" s="5">
        <v>0</v>
      </c>
      <c r="H114" s="5">
        <v>28446.38</v>
      </c>
      <c r="I114" s="5">
        <v>0</v>
      </c>
      <c r="J114" s="5">
        <v>0</v>
      </c>
      <c r="K114" s="5">
        <v>0</v>
      </c>
      <c r="L114" s="3">
        <v>28446.38</v>
      </c>
    </row>
    <row r="115" spans="1:12" x14ac:dyDescent="0.25">
      <c r="A115" s="5" t="s">
        <v>149</v>
      </c>
      <c r="B115" s="5" t="s">
        <v>17</v>
      </c>
      <c r="C115" s="5" t="s">
        <v>18</v>
      </c>
      <c r="D115" s="6" t="s">
        <v>21</v>
      </c>
      <c r="E115" s="5" t="s">
        <v>15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28241.84</v>
      </c>
      <c r="L115" s="3">
        <v>28241.84</v>
      </c>
    </row>
    <row r="116" spans="1:12" hidden="1" x14ac:dyDescent="0.25">
      <c r="A116" s="5" t="s">
        <v>39</v>
      </c>
      <c r="B116" s="5">
        <v>0</v>
      </c>
      <c r="C116" s="5" t="s">
        <v>92</v>
      </c>
      <c r="D116" s="6">
        <v>0</v>
      </c>
      <c r="E116" s="5" t="s">
        <v>150</v>
      </c>
      <c r="F116" s="5">
        <v>0</v>
      </c>
      <c r="G116" s="5">
        <v>3560</v>
      </c>
      <c r="H116" s="5">
        <v>6578</v>
      </c>
      <c r="I116" s="5">
        <v>13657</v>
      </c>
      <c r="J116" s="5">
        <v>3710</v>
      </c>
      <c r="K116" s="5">
        <v>0</v>
      </c>
      <c r="L116" s="3">
        <v>27505</v>
      </c>
    </row>
    <row r="117" spans="1:12" hidden="1" x14ac:dyDescent="0.25">
      <c r="A117" s="5" t="s">
        <v>151</v>
      </c>
      <c r="B117" s="5" t="s">
        <v>46</v>
      </c>
      <c r="C117" s="5" t="s">
        <v>37</v>
      </c>
      <c r="D117" s="6" t="s">
        <v>38</v>
      </c>
      <c r="E117" s="5" t="s">
        <v>79</v>
      </c>
      <c r="F117" s="5">
        <v>0</v>
      </c>
      <c r="G117" s="5">
        <v>0</v>
      </c>
      <c r="H117" s="5">
        <v>0</v>
      </c>
      <c r="I117" s="5">
        <v>0</v>
      </c>
      <c r="J117" s="5">
        <v>26301.81</v>
      </c>
      <c r="K117" s="5">
        <v>0</v>
      </c>
      <c r="L117" s="3">
        <v>26301.81</v>
      </c>
    </row>
    <row r="118" spans="1:12" hidden="1" x14ac:dyDescent="0.25">
      <c r="A118" s="5" t="s">
        <v>152</v>
      </c>
      <c r="B118" s="5" t="s">
        <v>17</v>
      </c>
      <c r="C118" s="5" t="s">
        <v>18</v>
      </c>
      <c r="D118" s="6" t="s">
        <v>31</v>
      </c>
      <c r="E118" s="5" t="s">
        <v>15</v>
      </c>
      <c r="F118" s="5">
        <v>0</v>
      </c>
      <c r="G118" s="5">
        <v>26008</v>
      </c>
      <c r="H118" s="5">
        <v>0</v>
      </c>
      <c r="I118" s="5">
        <v>0</v>
      </c>
      <c r="J118" s="5">
        <v>0</v>
      </c>
      <c r="K118" s="5">
        <v>0</v>
      </c>
      <c r="L118" s="3">
        <v>26008</v>
      </c>
    </row>
    <row r="119" spans="1:12" hidden="1" x14ac:dyDescent="0.25">
      <c r="A119" s="5" t="s">
        <v>153</v>
      </c>
      <c r="B119" s="5" t="s">
        <v>46</v>
      </c>
      <c r="C119" s="5" t="s">
        <v>37</v>
      </c>
      <c r="D119" s="6" t="s">
        <v>38</v>
      </c>
      <c r="E119" s="5" t="s">
        <v>79</v>
      </c>
      <c r="F119" s="5">
        <v>0</v>
      </c>
      <c r="G119" s="5">
        <v>24150</v>
      </c>
      <c r="H119" s="5">
        <v>0</v>
      </c>
      <c r="I119" s="5">
        <v>0</v>
      </c>
      <c r="J119" s="5">
        <v>0</v>
      </c>
      <c r="K119" s="5">
        <v>0</v>
      </c>
      <c r="L119" s="3">
        <v>24150</v>
      </c>
    </row>
    <row r="120" spans="1:12" hidden="1" x14ac:dyDescent="0.25">
      <c r="A120" s="5" t="s">
        <v>154</v>
      </c>
      <c r="B120" s="5" t="s">
        <v>46</v>
      </c>
      <c r="C120" s="5" t="s">
        <v>37</v>
      </c>
      <c r="D120" s="6" t="s">
        <v>38</v>
      </c>
      <c r="E120" s="5" t="s">
        <v>34</v>
      </c>
      <c r="F120" s="5">
        <v>0</v>
      </c>
      <c r="G120" s="5">
        <v>13907.5</v>
      </c>
      <c r="H120" s="5">
        <v>9997</v>
      </c>
      <c r="I120" s="5">
        <v>0</v>
      </c>
      <c r="J120" s="5">
        <v>0</v>
      </c>
      <c r="K120" s="5">
        <v>0</v>
      </c>
      <c r="L120" s="3">
        <v>23904.5</v>
      </c>
    </row>
    <row r="121" spans="1:12" hidden="1" x14ac:dyDescent="0.25">
      <c r="A121" s="5" t="s">
        <v>155</v>
      </c>
      <c r="B121" s="5" t="s">
        <v>46</v>
      </c>
      <c r="C121" s="5" t="s">
        <v>37</v>
      </c>
      <c r="D121" s="6" t="s">
        <v>38</v>
      </c>
      <c r="E121" s="5" t="s">
        <v>127</v>
      </c>
      <c r="F121" s="5">
        <v>0</v>
      </c>
      <c r="G121" s="5">
        <v>22015</v>
      </c>
      <c r="H121" s="5">
        <v>0</v>
      </c>
      <c r="I121" s="5">
        <v>0</v>
      </c>
      <c r="J121" s="5">
        <v>0</v>
      </c>
      <c r="K121" s="5">
        <v>0</v>
      </c>
      <c r="L121" s="3">
        <v>22015</v>
      </c>
    </row>
    <row r="122" spans="1:12" hidden="1" x14ac:dyDescent="0.25">
      <c r="A122" s="5" t="s">
        <v>156</v>
      </c>
      <c r="B122" s="5" t="s">
        <v>46</v>
      </c>
      <c r="C122" s="5" t="s">
        <v>37</v>
      </c>
      <c r="D122" s="6" t="s">
        <v>38</v>
      </c>
      <c r="E122" s="5" t="s">
        <v>127</v>
      </c>
      <c r="F122" s="5">
        <v>0</v>
      </c>
      <c r="G122" s="5">
        <v>13947.4</v>
      </c>
      <c r="H122" s="5">
        <v>1.25</v>
      </c>
      <c r="I122" s="5">
        <v>0</v>
      </c>
      <c r="J122" s="5">
        <v>7719</v>
      </c>
      <c r="K122" s="5">
        <v>0</v>
      </c>
      <c r="L122" s="3">
        <v>21667.65</v>
      </c>
    </row>
    <row r="123" spans="1:12" hidden="1" x14ac:dyDescent="0.25">
      <c r="A123" s="5" t="s">
        <v>157</v>
      </c>
      <c r="B123" s="5" t="s">
        <v>46</v>
      </c>
      <c r="C123" s="5" t="s">
        <v>37</v>
      </c>
      <c r="D123" s="6" t="s">
        <v>38</v>
      </c>
      <c r="E123" s="5" t="s">
        <v>51</v>
      </c>
      <c r="F123" s="5">
        <v>0</v>
      </c>
      <c r="G123" s="5">
        <v>21304.44</v>
      </c>
      <c r="H123" s="5">
        <v>0</v>
      </c>
      <c r="I123" s="5">
        <v>0</v>
      </c>
      <c r="J123" s="5">
        <v>0</v>
      </c>
      <c r="K123" s="5">
        <v>0</v>
      </c>
      <c r="L123" s="3">
        <v>21304.44</v>
      </c>
    </row>
    <row r="124" spans="1:12" hidden="1" x14ac:dyDescent="0.25">
      <c r="A124" s="5" t="s">
        <v>158</v>
      </c>
      <c r="B124" s="5" t="s">
        <v>46</v>
      </c>
      <c r="C124" s="5" t="s">
        <v>37</v>
      </c>
      <c r="D124" s="6" t="s">
        <v>38</v>
      </c>
      <c r="E124" s="5" t="s">
        <v>48</v>
      </c>
      <c r="F124" s="5">
        <v>0</v>
      </c>
      <c r="G124" s="5">
        <v>21295.24</v>
      </c>
      <c r="H124" s="5">
        <v>4.72</v>
      </c>
      <c r="I124" s="5">
        <v>0</v>
      </c>
      <c r="J124" s="5">
        <v>0</v>
      </c>
      <c r="K124" s="5">
        <v>0</v>
      </c>
      <c r="L124" s="3">
        <v>21299.96</v>
      </c>
    </row>
    <row r="125" spans="1:12" hidden="1" x14ac:dyDescent="0.25">
      <c r="A125" s="5" t="s">
        <v>159</v>
      </c>
      <c r="B125" s="5" t="s">
        <v>46</v>
      </c>
      <c r="C125" s="5" t="s">
        <v>37</v>
      </c>
      <c r="D125" s="6" t="s">
        <v>38</v>
      </c>
      <c r="E125" s="5" t="s">
        <v>51</v>
      </c>
      <c r="F125" s="5">
        <v>0</v>
      </c>
      <c r="G125" s="5">
        <v>20622.61</v>
      </c>
      <c r="H125" s="5">
        <v>0</v>
      </c>
      <c r="I125" s="5">
        <v>0</v>
      </c>
      <c r="J125" s="5">
        <v>0</v>
      </c>
      <c r="K125" s="5">
        <v>0</v>
      </c>
      <c r="L125" s="3">
        <v>20622.61</v>
      </c>
    </row>
    <row r="126" spans="1:12" hidden="1" x14ac:dyDescent="0.25">
      <c r="A126" s="5" t="s">
        <v>160</v>
      </c>
      <c r="B126" s="5" t="s">
        <v>46</v>
      </c>
      <c r="C126" s="5" t="s">
        <v>37</v>
      </c>
      <c r="D126" s="6" t="s">
        <v>38</v>
      </c>
      <c r="E126" s="5" t="s">
        <v>79</v>
      </c>
      <c r="F126" s="5">
        <v>0</v>
      </c>
      <c r="G126" s="5">
        <v>525</v>
      </c>
      <c r="H126" s="5">
        <v>0</v>
      </c>
      <c r="I126" s="5">
        <v>36.75</v>
      </c>
      <c r="J126" s="5">
        <v>19676</v>
      </c>
      <c r="K126" s="5">
        <v>0</v>
      </c>
      <c r="L126" s="3">
        <v>20237.75</v>
      </c>
    </row>
    <row r="127" spans="1:12" hidden="1" x14ac:dyDescent="0.25">
      <c r="A127" s="5" t="s">
        <v>161</v>
      </c>
      <c r="B127" s="5" t="s">
        <v>17</v>
      </c>
      <c r="C127" s="5" t="s">
        <v>18</v>
      </c>
      <c r="D127" s="6" t="s">
        <v>19</v>
      </c>
      <c r="E127" s="5" t="s">
        <v>127</v>
      </c>
      <c r="F127" s="5">
        <v>0</v>
      </c>
      <c r="G127" s="5">
        <v>0</v>
      </c>
      <c r="H127" s="5">
        <v>0</v>
      </c>
      <c r="I127" s="5">
        <v>0</v>
      </c>
      <c r="J127" s="5">
        <v>20039.75</v>
      </c>
      <c r="K127" s="5">
        <v>0</v>
      </c>
      <c r="L127" s="3">
        <v>20039.75</v>
      </c>
    </row>
    <row r="128" spans="1:12" hidden="1" x14ac:dyDescent="0.25">
      <c r="A128" s="5" t="s">
        <v>162</v>
      </c>
      <c r="B128" s="5" t="s">
        <v>46</v>
      </c>
      <c r="C128" s="5" t="s">
        <v>37</v>
      </c>
      <c r="D128" s="6" t="s">
        <v>38</v>
      </c>
      <c r="E128" s="5" t="s">
        <v>79</v>
      </c>
      <c r="F128" s="5">
        <v>0</v>
      </c>
      <c r="G128" s="5">
        <v>19613</v>
      </c>
      <c r="H128" s="5">
        <v>127</v>
      </c>
      <c r="I128" s="5">
        <v>16</v>
      </c>
      <c r="J128" s="5">
        <v>0</v>
      </c>
      <c r="K128" s="5">
        <v>0</v>
      </c>
      <c r="L128" s="3">
        <v>19756</v>
      </c>
    </row>
    <row r="129" spans="1:12" hidden="1" x14ac:dyDescent="0.25">
      <c r="A129" s="5" t="s">
        <v>163</v>
      </c>
      <c r="B129" s="5" t="s">
        <v>46</v>
      </c>
      <c r="C129" s="5" t="s">
        <v>18</v>
      </c>
      <c r="D129" s="6" t="s">
        <v>29</v>
      </c>
      <c r="E129" s="5" t="s">
        <v>51</v>
      </c>
      <c r="F129" s="5">
        <v>0</v>
      </c>
      <c r="G129" s="5">
        <v>12371.24</v>
      </c>
      <c r="H129" s="5">
        <v>6560</v>
      </c>
      <c r="I129" s="5">
        <v>0</v>
      </c>
      <c r="J129" s="5">
        <v>0</v>
      </c>
      <c r="K129" s="5">
        <v>0</v>
      </c>
      <c r="L129" s="3">
        <v>18931.240000000002</v>
      </c>
    </row>
    <row r="130" spans="1:12" hidden="1" x14ac:dyDescent="0.25">
      <c r="A130" s="5" t="s">
        <v>164</v>
      </c>
      <c r="B130" s="5" t="s">
        <v>46</v>
      </c>
      <c r="C130" s="5" t="s">
        <v>37</v>
      </c>
      <c r="D130" s="6" t="s">
        <v>38</v>
      </c>
      <c r="E130" s="5" t="s">
        <v>48</v>
      </c>
      <c r="F130" s="5">
        <v>0</v>
      </c>
      <c r="G130" s="5">
        <v>0</v>
      </c>
      <c r="H130" s="5">
        <v>0</v>
      </c>
      <c r="I130" s="5">
        <v>0</v>
      </c>
      <c r="J130" s="5">
        <v>18709.810000000001</v>
      </c>
      <c r="K130" s="5">
        <v>0</v>
      </c>
      <c r="L130" s="3">
        <v>18709.810000000001</v>
      </c>
    </row>
    <row r="131" spans="1:12" hidden="1" x14ac:dyDescent="0.25">
      <c r="A131" s="5" t="s">
        <v>165</v>
      </c>
      <c r="B131" s="5" t="s">
        <v>46</v>
      </c>
      <c r="C131" s="5" t="s">
        <v>37</v>
      </c>
      <c r="D131" s="6" t="s">
        <v>38</v>
      </c>
      <c r="E131" s="5" t="s">
        <v>79</v>
      </c>
      <c r="F131" s="5">
        <v>0</v>
      </c>
      <c r="G131" s="5"/>
      <c r="H131" s="5">
        <v>3097.1</v>
      </c>
      <c r="I131" s="5">
        <v>0</v>
      </c>
      <c r="J131" s="5">
        <v>14994.9</v>
      </c>
      <c r="K131" s="5">
        <v>0</v>
      </c>
      <c r="L131" s="3">
        <v>18092</v>
      </c>
    </row>
    <row r="132" spans="1:12" x14ac:dyDescent="0.25">
      <c r="A132" s="5" t="s">
        <v>166</v>
      </c>
      <c r="B132" s="5" t="s">
        <v>46</v>
      </c>
      <c r="C132" s="5" t="s">
        <v>37</v>
      </c>
      <c r="D132" s="6" t="s">
        <v>38</v>
      </c>
      <c r="E132" s="5" t="s">
        <v>48</v>
      </c>
      <c r="F132" s="5">
        <v>0</v>
      </c>
      <c r="G132" s="5">
        <v>0</v>
      </c>
      <c r="H132" s="5">
        <v>0</v>
      </c>
      <c r="I132" s="5">
        <v>5435</v>
      </c>
      <c r="J132" s="5">
        <v>0</v>
      </c>
      <c r="K132" s="5">
        <v>12600</v>
      </c>
      <c r="L132" s="3">
        <v>18035</v>
      </c>
    </row>
    <row r="133" spans="1:12" hidden="1" x14ac:dyDescent="0.25">
      <c r="A133" s="5" t="s">
        <v>167</v>
      </c>
      <c r="B133" s="5" t="s">
        <v>46</v>
      </c>
      <c r="C133" s="5" t="s">
        <v>37</v>
      </c>
      <c r="D133" s="6" t="s">
        <v>38</v>
      </c>
      <c r="E133" s="5" t="s">
        <v>127</v>
      </c>
      <c r="F133" s="5">
        <v>0</v>
      </c>
      <c r="G133" s="5">
        <v>15338</v>
      </c>
      <c r="H133" s="5">
        <v>2430</v>
      </c>
      <c r="I133" s="5">
        <v>0</v>
      </c>
      <c r="J133" s="5">
        <v>0</v>
      </c>
      <c r="K133" s="5">
        <v>0</v>
      </c>
      <c r="L133" s="3">
        <v>17768</v>
      </c>
    </row>
    <row r="134" spans="1:12" hidden="1" x14ac:dyDescent="0.25">
      <c r="A134" s="5" t="s">
        <v>168</v>
      </c>
      <c r="B134" s="5" t="s">
        <v>46</v>
      </c>
      <c r="C134" s="5" t="s">
        <v>37</v>
      </c>
      <c r="D134" s="6" t="s">
        <v>38</v>
      </c>
      <c r="E134" s="5" t="s">
        <v>34</v>
      </c>
      <c r="F134" s="5">
        <v>0</v>
      </c>
      <c r="G134" s="5">
        <v>0</v>
      </c>
      <c r="H134" s="5">
        <v>16550</v>
      </c>
      <c r="I134" s="5">
        <v>0</v>
      </c>
      <c r="J134" s="5">
        <v>0</v>
      </c>
      <c r="K134" s="5">
        <v>0</v>
      </c>
      <c r="L134" s="3">
        <v>16550</v>
      </c>
    </row>
    <row r="135" spans="1:12" hidden="1" x14ac:dyDescent="0.25">
      <c r="A135" s="5" t="s">
        <v>169</v>
      </c>
      <c r="B135" s="5" t="s">
        <v>46</v>
      </c>
      <c r="C135" s="5" t="s">
        <v>37</v>
      </c>
      <c r="D135" s="6" t="s">
        <v>38</v>
      </c>
      <c r="E135" s="5" t="s">
        <v>79</v>
      </c>
      <c r="F135" s="5">
        <v>0</v>
      </c>
      <c r="G135" s="5">
        <v>15825.1</v>
      </c>
      <c r="H135" s="5">
        <v>0.08</v>
      </c>
      <c r="I135" s="5">
        <v>0</v>
      </c>
      <c r="J135" s="5">
        <v>0</v>
      </c>
      <c r="K135" s="5">
        <v>0</v>
      </c>
      <c r="L135" s="3">
        <v>15825.18</v>
      </c>
    </row>
    <row r="136" spans="1:12" hidden="1" x14ac:dyDescent="0.25">
      <c r="A136" s="5" t="s">
        <v>170</v>
      </c>
      <c r="B136" s="5" t="s">
        <v>46</v>
      </c>
      <c r="C136" s="5" t="s">
        <v>37</v>
      </c>
      <c r="D136" s="6" t="s">
        <v>38</v>
      </c>
      <c r="E136" s="5" t="s">
        <v>79</v>
      </c>
      <c r="F136" s="5">
        <v>0</v>
      </c>
      <c r="G136" s="5">
        <v>14650.59</v>
      </c>
      <c r="H136" s="5">
        <v>0.75</v>
      </c>
      <c r="I136" s="5">
        <v>0</v>
      </c>
      <c r="J136" s="5">
        <v>0</v>
      </c>
      <c r="K136" s="5">
        <v>0</v>
      </c>
      <c r="L136" s="3">
        <v>14651.34</v>
      </c>
    </row>
    <row r="137" spans="1:12" hidden="1" x14ac:dyDescent="0.25">
      <c r="A137" s="5" t="s">
        <v>171</v>
      </c>
      <c r="B137" s="5" t="s">
        <v>46</v>
      </c>
      <c r="C137" s="5" t="s">
        <v>37</v>
      </c>
      <c r="D137" s="6" t="s">
        <v>38</v>
      </c>
      <c r="E137" s="5" t="s">
        <v>127</v>
      </c>
      <c r="F137" s="5">
        <v>0</v>
      </c>
      <c r="G137" s="5">
        <v>14160</v>
      </c>
      <c r="H137" s="5">
        <v>0</v>
      </c>
      <c r="I137" s="5">
        <v>0</v>
      </c>
      <c r="J137" s="5">
        <v>0</v>
      </c>
      <c r="K137" s="5">
        <v>0</v>
      </c>
      <c r="L137" s="3">
        <v>14160</v>
      </c>
    </row>
    <row r="138" spans="1:12" hidden="1" x14ac:dyDescent="0.25">
      <c r="A138" s="5" t="s">
        <v>172</v>
      </c>
      <c r="B138" s="5" t="s">
        <v>46</v>
      </c>
      <c r="C138" s="5" t="s">
        <v>37</v>
      </c>
      <c r="D138" s="6" t="s">
        <v>38</v>
      </c>
      <c r="E138" s="5" t="s">
        <v>127</v>
      </c>
      <c r="F138" s="5">
        <v>0</v>
      </c>
      <c r="G138" s="5">
        <v>12063</v>
      </c>
      <c r="H138" s="5">
        <v>513</v>
      </c>
      <c r="I138" s="5">
        <v>0</v>
      </c>
      <c r="J138" s="5">
        <v>0</v>
      </c>
      <c r="K138" s="5">
        <v>0</v>
      </c>
      <c r="L138" s="3">
        <v>12576</v>
      </c>
    </row>
    <row r="139" spans="1:12" hidden="1" x14ac:dyDescent="0.25">
      <c r="A139" s="5" t="s">
        <v>173</v>
      </c>
      <c r="B139" s="5" t="s">
        <v>46</v>
      </c>
      <c r="C139" s="5" t="s">
        <v>18</v>
      </c>
      <c r="D139" s="6" t="s">
        <v>174</v>
      </c>
      <c r="E139" s="5" t="s">
        <v>34</v>
      </c>
      <c r="F139" s="5">
        <v>0</v>
      </c>
      <c r="G139" s="5">
        <v>0</v>
      </c>
      <c r="H139" s="5">
        <v>0</v>
      </c>
      <c r="I139" s="5">
        <v>0</v>
      </c>
      <c r="J139" s="5">
        <v>12313.8</v>
      </c>
      <c r="K139" s="5">
        <v>0</v>
      </c>
      <c r="L139" s="3">
        <v>12313.8</v>
      </c>
    </row>
    <row r="140" spans="1:12" hidden="1" x14ac:dyDescent="0.25">
      <c r="A140" s="5" t="s">
        <v>175</v>
      </c>
      <c r="B140" s="5" t="s">
        <v>46</v>
      </c>
      <c r="C140" s="5" t="s">
        <v>37</v>
      </c>
      <c r="D140" s="6" t="s">
        <v>38</v>
      </c>
      <c r="E140" s="5" t="s">
        <v>127</v>
      </c>
      <c r="F140" s="5">
        <v>0</v>
      </c>
      <c r="G140" s="5">
        <v>12247.46</v>
      </c>
      <c r="H140" s="5">
        <v>0</v>
      </c>
      <c r="I140" s="5">
        <v>0</v>
      </c>
      <c r="J140" s="5">
        <v>0</v>
      </c>
      <c r="K140" s="5">
        <v>0</v>
      </c>
      <c r="L140" s="3">
        <v>12247.46</v>
      </c>
    </row>
    <row r="141" spans="1:12" hidden="1" x14ac:dyDescent="0.25">
      <c r="A141" s="5" t="s">
        <v>176</v>
      </c>
      <c r="B141" s="5" t="s">
        <v>46</v>
      </c>
      <c r="C141" s="5" t="s">
        <v>37</v>
      </c>
      <c r="D141" s="6" t="s">
        <v>38</v>
      </c>
      <c r="E141" s="5" t="s">
        <v>79</v>
      </c>
      <c r="F141" s="5">
        <v>0</v>
      </c>
      <c r="G141" s="5">
        <v>11720.3</v>
      </c>
      <c r="H141" s="5">
        <v>0</v>
      </c>
      <c r="I141" s="5">
        <v>0</v>
      </c>
      <c r="J141" s="5">
        <v>172.03</v>
      </c>
      <c r="K141" s="5">
        <v>0</v>
      </c>
      <c r="L141" s="3">
        <v>11892.33</v>
      </c>
    </row>
    <row r="142" spans="1:12" hidden="1" x14ac:dyDescent="0.25">
      <c r="A142" s="5" t="s">
        <v>177</v>
      </c>
      <c r="B142" s="5" t="s">
        <v>46</v>
      </c>
      <c r="C142" s="5" t="s">
        <v>37</v>
      </c>
      <c r="D142" s="6" t="s">
        <v>38</v>
      </c>
      <c r="E142" s="5" t="s">
        <v>34</v>
      </c>
      <c r="F142" s="5">
        <v>0</v>
      </c>
      <c r="G142" s="5">
        <v>11180</v>
      </c>
      <c r="H142" s="5">
        <v>0</v>
      </c>
      <c r="I142" s="5">
        <v>0</v>
      </c>
      <c r="J142" s="5">
        <v>0</v>
      </c>
      <c r="K142" s="5">
        <v>0</v>
      </c>
      <c r="L142" s="3">
        <v>11180</v>
      </c>
    </row>
    <row r="143" spans="1:12" hidden="1" x14ac:dyDescent="0.25">
      <c r="A143" s="5" t="s">
        <v>178</v>
      </c>
      <c r="B143" s="5" t="s">
        <v>46</v>
      </c>
      <c r="C143" s="5" t="s">
        <v>37</v>
      </c>
      <c r="D143" s="6" t="s">
        <v>38</v>
      </c>
      <c r="E143" s="5" t="s">
        <v>127</v>
      </c>
      <c r="F143" s="5">
        <v>0</v>
      </c>
      <c r="G143" s="5">
        <v>10959.34</v>
      </c>
      <c r="H143" s="5">
        <v>160.96</v>
      </c>
      <c r="I143" s="5">
        <v>0</v>
      </c>
      <c r="J143" s="5">
        <v>0.95</v>
      </c>
      <c r="K143" s="5">
        <v>0</v>
      </c>
      <c r="L143" s="3">
        <v>11121.25</v>
      </c>
    </row>
    <row r="144" spans="1:12" hidden="1" x14ac:dyDescent="0.25">
      <c r="A144" s="5" t="s">
        <v>179</v>
      </c>
      <c r="B144" s="5" t="s">
        <v>46</v>
      </c>
      <c r="C144" s="5" t="s">
        <v>37</v>
      </c>
      <c r="D144" s="6" t="s">
        <v>38</v>
      </c>
      <c r="E144" s="5" t="s">
        <v>79</v>
      </c>
      <c r="F144" s="5">
        <v>0</v>
      </c>
      <c r="G144" s="5">
        <v>10355.75</v>
      </c>
      <c r="H144" s="5">
        <v>663</v>
      </c>
      <c r="I144" s="5">
        <v>0</v>
      </c>
      <c r="J144" s="5">
        <v>0</v>
      </c>
      <c r="K144" s="5">
        <v>0</v>
      </c>
      <c r="L144" s="3">
        <v>11018.75</v>
      </c>
    </row>
    <row r="145" spans="1:12" hidden="1" x14ac:dyDescent="0.25">
      <c r="A145" s="5" t="s">
        <v>180</v>
      </c>
      <c r="B145" s="5" t="s">
        <v>46</v>
      </c>
      <c r="C145" s="5" t="s">
        <v>37</v>
      </c>
      <c r="D145" s="6" t="s">
        <v>38</v>
      </c>
      <c r="E145" s="5" t="s">
        <v>181</v>
      </c>
      <c r="F145" s="5">
        <v>0</v>
      </c>
      <c r="G145" s="5">
        <v>10400</v>
      </c>
      <c r="H145" s="5">
        <v>0</v>
      </c>
      <c r="I145" s="5">
        <v>0</v>
      </c>
      <c r="J145" s="5">
        <v>0</v>
      </c>
      <c r="K145" s="5">
        <v>0</v>
      </c>
      <c r="L145" s="3">
        <v>10400</v>
      </c>
    </row>
    <row r="146" spans="1:12" hidden="1" x14ac:dyDescent="0.25">
      <c r="A146" s="5" t="s">
        <v>182</v>
      </c>
      <c r="B146" s="5">
        <v>0</v>
      </c>
      <c r="C146" s="5" t="s">
        <v>14</v>
      </c>
      <c r="D146" s="6">
        <v>0</v>
      </c>
      <c r="E146" s="5" t="s">
        <v>41</v>
      </c>
      <c r="F146" s="5">
        <v>0</v>
      </c>
      <c r="G146" s="5">
        <v>10200</v>
      </c>
      <c r="H146" s="5"/>
      <c r="I146" s="5">
        <v>0</v>
      </c>
      <c r="J146" s="5">
        <v>0</v>
      </c>
      <c r="K146" s="5">
        <v>0</v>
      </c>
      <c r="L146" s="3">
        <v>10200</v>
      </c>
    </row>
    <row r="147" spans="1:12" hidden="1" x14ac:dyDescent="0.25">
      <c r="A147" s="5" t="s">
        <v>183</v>
      </c>
      <c r="B147" s="5" t="s">
        <v>46</v>
      </c>
      <c r="C147" s="5" t="s">
        <v>37</v>
      </c>
      <c r="D147" s="6" t="s">
        <v>38</v>
      </c>
      <c r="E147" s="5" t="s">
        <v>79</v>
      </c>
      <c r="F147" s="5">
        <v>0</v>
      </c>
      <c r="G147" s="5">
        <v>9693.5499999999993</v>
      </c>
      <c r="H147" s="5">
        <v>0</v>
      </c>
      <c r="I147" s="5">
        <v>341.45</v>
      </c>
      <c r="J147" s="5">
        <v>0</v>
      </c>
      <c r="K147" s="5">
        <v>0</v>
      </c>
      <c r="L147" s="3">
        <v>10035</v>
      </c>
    </row>
    <row r="148" spans="1:12" hidden="1" x14ac:dyDescent="0.25">
      <c r="A148" s="5" t="s">
        <v>184</v>
      </c>
      <c r="B148" s="5" t="s">
        <v>46</v>
      </c>
      <c r="C148" s="5" t="s">
        <v>37</v>
      </c>
      <c r="D148" s="6" t="s">
        <v>38</v>
      </c>
      <c r="E148" s="5" t="s">
        <v>79</v>
      </c>
      <c r="F148" s="5">
        <v>0</v>
      </c>
      <c r="G148" s="5">
        <v>0</v>
      </c>
      <c r="H148" s="5">
        <v>0</v>
      </c>
      <c r="I148" s="5">
        <v>0</v>
      </c>
      <c r="J148" s="5">
        <v>10028.290000000001</v>
      </c>
      <c r="K148" s="5">
        <v>0</v>
      </c>
      <c r="L148" s="3">
        <v>10028.290000000001</v>
      </c>
    </row>
    <row r="149" spans="1:12" hidden="1" x14ac:dyDescent="0.25">
      <c r="A149" s="5" t="s">
        <v>185</v>
      </c>
      <c r="B149" s="5" t="s">
        <v>46</v>
      </c>
      <c r="C149" s="5" t="s">
        <v>37</v>
      </c>
      <c r="D149" s="6" t="s">
        <v>38</v>
      </c>
      <c r="E149" s="5" t="s">
        <v>127</v>
      </c>
      <c r="F149" s="5">
        <v>0</v>
      </c>
      <c r="G149" s="5">
        <v>0</v>
      </c>
      <c r="H149" s="5">
        <v>0</v>
      </c>
      <c r="I149" s="5">
        <v>10018.52</v>
      </c>
      <c r="J149" s="5">
        <v>0</v>
      </c>
      <c r="K149" s="5">
        <v>0</v>
      </c>
      <c r="L149" s="3">
        <v>10018.52</v>
      </c>
    </row>
    <row r="150" spans="1:12" hidden="1" x14ac:dyDescent="0.25">
      <c r="A150" s="5" t="s">
        <v>186</v>
      </c>
      <c r="B150" s="5" t="s">
        <v>46</v>
      </c>
      <c r="C150" s="5" t="s">
        <v>37</v>
      </c>
      <c r="D150" s="6" t="s">
        <v>38</v>
      </c>
      <c r="E150" s="5" t="s">
        <v>127</v>
      </c>
      <c r="F150" s="5">
        <v>0</v>
      </c>
      <c r="G150" s="5">
        <v>9558.08</v>
      </c>
      <c r="H150" s="5">
        <v>14.46</v>
      </c>
      <c r="I150" s="5">
        <v>0</v>
      </c>
      <c r="J150" s="5">
        <v>0</v>
      </c>
      <c r="K150" s="5">
        <v>0</v>
      </c>
      <c r="L150" s="3">
        <v>9572.5399999999991</v>
      </c>
    </row>
    <row r="151" spans="1:12" hidden="1" x14ac:dyDescent="0.25">
      <c r="A151" s="5" t="s">
        <v>187</v>
      </c>
      <c r="B151" s="5" t="s">
        <v>46</v>
      </c>
      <c r="C151" s="5" t="s">
        <v>37</v>
      </c>
      <c r="D151" s="6" t="s">
        <v>38</v>
      </c>
      <c r="E151" s="5" t="s">
        <v>34</v>
      </c>
      <c r="F151" s="5">
        <v>0</v>
      </c>
      <c r="G151" s="5">
        <v>9561.68</v>
      </c>
      <c r="H151" s="5">
        <v>0</v>
      </c>
      <c r="I151" s="5">
        <v>0</v>
      </c>
      <c r="J151" s="5">
        <v>0</v>
      </c>
      <c r="K151" s="5">
        <v>0</v>
      </c>
      <c r="L151" s="3">
        <v>9561.68</v>
      </c>
    </row>
    <row r="152" spans="1:12" x14ac:dyDescent="0.25">
      <c r="A152" s="5" t="s">
        <v>188</v>
      </c>
      <c r="B152" s="5" t="s">
        <v>17</v>
      </c>
      <c r="C152" s="5" t="s">
        <v>33</v>
      </c>
      <c r="D152" s="6" t="s">
        <v>19</v>
      </c>
      <c r="E152" s="5" t="s">
        <v>15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9356.17</v>
      </c>
      <c r="L152" s="3">
        <v>9356.17</v>
      </c>
    </row>
    <row r="153" spans="1:12" x14ac:dyDescent="0.25">
      <c r="A153" s="5" t="s">
        <v>189</v>
      </c>
      <c r="B153" s="5" t="s">
        <v>46</v>
      </c>
      <c r="C153" s="5" t="s">
        <v>37</v>
      </c>
      <c r="D153" s="6" t="s">
        <v>38</v>
      </c>
      <c r="E153" s="5" t="s">
        <v>34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9288.7999999999993</v>
      </c>
      <c r="L153" s="3">
        <v>9288.7999999999993</v>
      </c>
    </row>
    <row r="154" spans="1:12" hidden="1" x14ac:dyDescent="0.25">
      <c r="A154" s="5" t="s">
        <v>190</v>
      </c>
      <c r="B154" s="5" t="s">
        <v>46</v>
      </c>
      <c r="C154" s="5" t="s">
        <v>37</v>
      </c>
      <c r="D154" s="6" t="s">
        <v>38</v>
      </c>
      <c r="E154" s="5" t="s">
        <v>51</v>
      </c>
      <c r="F154" s="5">
        <v>0</v>
      </c>
      <c r="G154" s="5">
        <v>9261</v>
      </c>
      <c r="H154" s="5">
        <v>0.34</v>
      </c>
      <c r="I154" s="5">
        <v>0.64</v>
      </c>
      <c r="J154" s="5">
        <v>0</v>
      </c>
      <c r="K154" s="5">
        <v>0</v>
      </c>
      <c r="L154" s="3">
        <v>9261.98</v>
      </c>
    </row>
    <row r="155" spans="1:12" hidden="1" x14ac:dyDescent="0.25">
      <c r="A155" s="5" t="s">
        <v>191</v>
      </c>
      <c r="B155" s="5" t="s">
        <v>46</v>
      </c>
      <c r="C155" s="5" t="s">
        <v>18</v>
      </c>
      <c r="D155" s="6" t="s">
        <v>31</v>
      </c>
      <c r="E155" s="5" t="s">
        <v>51</v>
      </c>
      <c r="F155" s="5">
        <v>0</v>
      </c>
      <c r="G155" s="5">
        <v>0</v>
      </c>
      <c r="H155" s="5">
        <v>0</v>
      </c>
      <c r="I155" s="5">
        <v>0</v>
      </c>
      <c r="J155" s="5">
        <v>9132.3700000000008</v>
      </c>
      <c r="K155" s="5">
        <v>0</v>
      </c>
      <c r="L155" s="3">
        <v>9132.3700000000008</v>
      </c>
    </row>
    <row r="156" spans="1:12" hidden="1" x14ac:dyDescent="0.25">
      <c r="A156" s="5" t="s">
        <v>192</v>
      </c>
      <c r="B156" s="5" t="s">
        <v>46</v>
      </c>
      <c r="C156" s="5" t="s">
        <v>37</v>
      </c>
      <c r="D156" s="6" t="s">
        <v>38</v>
      </c>
      <c r="E156" s="5" t="s">
        <v>51</v>
      </c>
      <c r="F156" s="5">
        <v>0</v>
      </c>
      <c r="G156" s="5">
        <v>8868.75</v>
      </c>
      <c r="H156" s="5">
        <v>0</v>
      </c>
      <c r="I156" s="5">
        <v>0</v>
      </c>
      <c r="J156" s="5">
        <v>0</v>
      </c>
      <c r="K156" s="5">
        <v>0</v>
      </c>
      <c r="L156" s="3">
        <v>8868.75</v>
      </c>
    </row>
    <row r="157" spans="1:12" hidden="1" x14ac:dyDescent="0.25">
      <c r="A157" s="5" t="s">
        <v>193</v>
      </c>
      <c r="B157" s="5" t="s">
        <v>17</v>
      </c>
      <c r="C157" s="5" t="s">
        <v>37</v>
      </c>
      <c r="D157" s="6" t="s">
        <v>38</v>
      </c>
      <c r="E157" s="5" t="s">
        <v>15</v>
      </c>
      <c r="F157" s="5">
        <v>0</v>
      </c>
      <c r="G157" s="5">
        <v>8400</v>
      </c>
      <c r="H157" s="5">
        <v>0</v>
      </c>
      <c r="I157" s="5">
        <v>142</v>
      </c>
      <c r="J157" s="5">
        <v>0</v>
      </c>
      <c r="K157" s="5">
        <v>0</v>
      </c>
      <c r="L157" s="3">
        <v>8542</v>
      </c>
    </row>
    <row r="158" spans="1:12" hidden="1" x14ac:dyDescent="0.25">
      <c r="A158" s="5" t="s">
        <v>194</v>
      </c>
      <c r="B158" s="5" t="s">
        <v>17</v>
      </c>
      <c r="C158" s="5" t="s">
        <v>18</v>
      </c>
      <c r="D158" s="6" t="s">
        <v>19</v>
      </c>
      <c r="E158" s="5" t="s">
        <v>15</v>
      </c>
      <c r="F158" s="5">
        <v>15475</v>
      </c>
      <c r="G158" s="5">
        <v>-7050</v>
      </c>
      <c r="H158" s="5"/>
      <c r="I158" s="5"/>
      <c r="J158" s="5"/>
      <c r="K158" s="5">
        <v>0</v>
      </c>
      <c r="L158" s="3">
        <v>8423.619999999999</v>
      </c>
    </row>
    <row r="159" spans="1:12" hidden="1" x14ac:dyDescent="0.25">
      <c r="A159" s="5" t="s">
        <v>195</v>
      </c>
      <c r="B159" s="5" t="s">
        <v>46</v>
      </c>
      <c r="C159" s="5" t="s">
        <v>37</v>
      </c>
      <c r="D159" s="6" t="s">
        <v>38</v>
      </c>
      <c r="E159" s="5" t="s">
        <v>51</v>
      </c>
      <c r="F159" s="5">
        <v>0</v>
      </c>
      <c r="G159" s="5">
        <v>8370.64</v>
      </c>
      <c r="H159" s="5">
        <v>0</v>
      </c>
      <c r="I159" s="5">
        <v>0</v>
      </c>
      <c r="J159" s="5">
        <v>0</v>
      </c>
      <c r="K159" s="5">
        <v>0</v>
      </c>
      <c r="L159" s="3">
        <v>8370.64</v>
      </c>
    </row>
    <row r="160" spans="1:12" hidden="1" x14ac:dyDescent="0.25">
      <c r="A160" s="5" t="s">
        <v>196</v>
      </c>
      <c r="B160" s="5" t="s">
        <v>46</v>
      </c>
      <c r="C160" s="5" t="s">
        <v>37</v>
      </c>
      <c r="D160" s="6" t="s">
        <v>38</v>
      </c>
      <c r="E160" s="5" t="s">
        <v>48</v>
      </c>
      <c r="F160" s="5">
        <v>0</v>
      </c>
      <c r="G160" s="5">
        <v>0</v>
      </c>
      <c r="H160" s="5">
        <v>0</v>
      </c>
      <c r="I160" s="5">
        <v>0</v>
      </c>
      <c r="J160" s="5">
        <v>7925</v>
      </c>
      <c r="K160" s="5">
        <v>0</v>
      </c>
      <c r="L160" s="3">
        <v>7925</v>
      </c>
    </row>
    <row r="161" spans="1:12" hidden="1" x14ac:dyDescent="0.25">
      <c r="A161" s="5" t="s">
        <v>197</v>
      </c>
      <c r="B161" s="5" t="s">
        <v>17</v>
      </c>
      <c r="C161" s="5" t="s">
        <v>18</v>
      </c>
      <c r="D161" s="6" t="s">
        <v>19</v>
      </c>
      <c r="E161" s="5" t="s">
        <v>127</v>
      </c>
      <c r="F161" s="5">
        <v>0</v>
      </c>
      <c r="G161" s="5">
        <v>0</v>
      </c>
      <c r="H161" s="5">
        <v>0</v>
      </c>
      <c r="I161" s="5">
        <v>0</v>
      </c>
      <c r="J161" s="5">
        <v>7908.63</v>
      </c>
      <c r="K161" s="5">
        <v>0</v>
      </c>
      <c r="L161" s="3">
        <v>7908.63</v>
      </c>
    </row>
    <row r="162" spans="1:12" hidden="1" x14ac:dyDescent="0.25">
      <c r="A162" s="5" t="s">
        <v>198</v>
      </c>
      <c r="B162" s="5" t="s">
        <v>46</v>
      </c>
      <c r="C162" s="5" t="s">
        <v>37</v>
      </c>
      <c r="D162" s="6" t="s">
        <v>38</v>
      </c>
      <c r="E162" s="5" t="s">
        <v>34</v>
      </c>
      <c r="F162" s="5">
        <v>0</v>
      </c>
      <c r="G162" s="5">
        <v>0</v>
      </c>
      <c r="H162" s="5">
        <v>0</v>
      </c>
      <c r="I162" s="5">
        <v>0</v>
      </c>
      <c r="J162" s="5">
        <v>7821.78</v>
      </c>
      <c r="K162" s="5">
        <v>0</v>
      </c>
      <c r="L162" s="3">
        <v>7821.78</v>
      </c>
    </row>
    <row r="163" spans="1:12" hidden="1" x14ac:dyDescent="0.25">
      <c r="A163" s="5" t="s">
        <v>199</v>
      </c>
      <c r="B163" s="5" t="s">
        <v>17</v>
      </c>
      <c r="C163" s="5" t="s">
        <v>14</v>
      </c>
      <c r="D163" s="6" t="s">
        <v>19</v>
      </c>
      <c r="E163" s="5" t="s">
        <v>15</v>
      </c>
      <c r="F163" s="5">
        <v>0</v>
      </c>
      <c r="G163" s="5">
        <v>0</v>
      </c>
      <c r="H163" s="5">
        <v>7507.25</v>
      </c>
      <c r="I163" s="5">
        <v>-71166.539999999994</v>
      </c>
      <c r="J163" s="5">
        <v>71166.539999999994</v>
      </c>
      <c r="K163" s="5">
        <v>0</v>
      </c>
      <c r="L163" s="3">
        <v>7507.25</v>
      </c>
    </row>
    <row r="164" spans="1:12" hidden="1" x14ac:dyDescent="0.25">
      <c r="A164" s="5" t="s">
        <v>200</v>
      </c>
      <c r="B164" s="5" t="s">
        <v>46</v>
      </c>
      <c r="C164" s="5" t="s">
        <v>37</v>
      </c>
      <c r="D164" s="6" t="s">
        <v>38</v>
      </c>
      <c r="E164" s="5" t="s">
        <v>127</v>
      </c>
      <c r="F164" s="5">
        <v>0</v>
      </c>
      <c r="G164" s="5">
        <v>7010</v>
      </c>
      <c r="H164" s="5">
        <v>0</v>
      </c>
      <c r="I164" s="5">
        <v>0</v>
      </c>
      <c r="J164" s="5">
        <v>0</v>
      </c>
      <c r="K164" s="5">
        <v>0</v>
      </c>
      <c r="L164" s="3">
        <v>7010</v>
      </c>
    </row>
    <row r="165" spans="1:12" hidden="1" x14ac:dyDescent="0.25">
      <c r="A165" s="5" t="s">
        <v>201</v>
      </c>
      <c r="B165" s="5" t="s">
        <v>46</v>
      </c>
      <c r="C165" s="5" t="s">
        <v>37</v>
      </c>
      <c r="D165" s="6" t="s">
        <v>38</v>
      </c>
      <c r="E165" s="5" t="s">
        <v>51</v>
      </c>
      <c r="F165" s="5">
        <v>0</v>
      </c>
      <c r="G165" s="5">
        <v>6450</v>
      </c>
      <c r="H165" s="5">
        <v>0</v>
      </c>
      <c r="I165" s="5">
        <v>0</v>
      </c>
      <c r="J165" s="5">
        <v>235</v>
      </c>
      <c r="K165" s="5">
        <v>0</v>
      </c>
      <c r="L165" s="3">
        <v>6685</v>
      </c>
    </row>
    <row r="166" spans="1:12" hidden="1" x14ac:dyDescent="0.25">
      <c r="A166" s="5" t="s">
        <v>202</v>
      </c>
      <c r="B166" s="5" t="s">
        <v>46</v>
      </c>
      <c r="C166" s="5" t="s">
        <v>37</v>
      </c>
      <c r="D166" s="6" t="s">
        <v>38</v>
      </c>
      <c r="E166" s="5" t="s">
        <v>127</v>
      </c>
      <c r="F166" s="5">
        <v>0</v>
      </c>
      <c r="G166" s="5">
        <v>6592</v>
      </c>
      <c r="H166" s="5">
        <v>0</v>
      </c>
      <c r="I166" s="5">
        <v>0</v>
      </c>
      <c r="J166" s="5">
        <v>0</v>
      </c>
      <c r="K166" s="5">
        <v>0</v>
      </c>
      <c r="L166" s="3">
        <v>6592</v>
      </c>
    </row>
    <row r="167" spans="1:12" hidden="1" x14ac:dyDescent="0.25">
      <c r="A167" s="5" t="s">
        <v>203</v>
      </c>
      <c r="B167" s="5" t="s">
        <v>46</v>
      </c>
      <c r="C167" s="5" t="s">
        <v>37</v>
      </c>
      <c r="D167" s="6" t="s">
        <v>38</v>
      </c>
      <c r="E167" s="5" t="s">
        <v>34</v>
      </c>
      <c r="F167" s="5">
        <v>0</v>
      </c>
      <c r="G167" s="5">
        <v>0</v>
      </c>
      <c r="H167" s="5">
        <v>0</v>
      </c>
      <c r="I167" s="5">
        <v>0</v>
      </c>
      <c r="J167" s="5">
        <v>6524.1</v>
      </c>
      <c r="K167" s="5">
        <v>0</v>
      </c>
      <c r="L167" s="3">
        <v>6524.1</v>
      </c>
    </row>
    <row r="168" spans="1:12" hidden="1" x14ac:dyDescent="0.25">
      <c r="A168" s="5" t="s">
        <v>204</v>
      </c>
      <c r="B168" s="5" t="s">
        <v>46</v>
      </c>
      <c r="C168" s="5" t="s">
        <v>37</v>
      </c>
      <c r="D168" s="6" t="s">
        <v>38</v>
      </c>
      <c r="E168" s="5" t="s">
        <v>51</v>
      </c>
      <c r="F168" s="5">
        <v>0</v>
      </c>
      <c r="G168" s="5">
        <v>0</v>
      </c>
      <c r="H168" s="5">
        <v>0</v>
      </c>
      <c r="I168" s="5">
        <v>0</v>
      </c>
      <c r="J168" s="5">
        <v>6350</v>
      </c>
      <c r="K168" s="5">
        <v>0</v>
      </c>
      <c r="L168" s="3">
        <v>6350</v>
      </c>
    </row>
    <row r="169" spans="1:12" hidden="1" x14ac:dyDescent="0.25">
      <c r="A169" s="5" t="s">
        <v>205</v>
      </c>
      <c r="B169" s="5" t="s">
        <v>46</v>
      </c>
      <c r="C169" s="5" t="s">
        <v>37</v>
      </c>
      <c r="D169" s="6" t="s">
        <v>38</v>
      </c>
      <c r="E169" s="5" t="s">
        <v>51</v>
      </c>
      <c r="F169" s="5">
        <v>0</v>
      </c>
      <c r="G169" s="5">
        <v>0</v>
      </c>
      <c r="H169" s="5">
        <v>0.87</v>
      </c>
      <c r="I169" s="5">
        <v>6308.93</v>
      </c>
      <c r="J169" s="5">
        <v>0</v>
      </c>
      <c r="K169" s="5">
        <v>0</v>
      </c>
      <c r="L169" s="3">
        <v>6309.8</v>
      </c>
    </row>
    <row r="170" spans="1:12" hidden="1" x14ac:dyDescent="0.25">
      <c r="A170" s="5" t="s">
        <v>206</v>
      </c>
      <c r="B170" s="5" t="s">
        <v>46</v>
      </c>
      <c r="C170" s="5" t="s">
        <v>37</v>
      </c>
      <c r="D170" s="6" t="s">
        <v>38</v>
      </c>
      <c r="E170" s="5" t="s">
        <v>127</v>
      </c>
      <c r="F170" s="5">
        <v>0</v>
      </c>
      <c r="G170" s="5">
        <v>0</v>
      </c>
      <c r="H170" s="5">
        <v>0</v>
      </c>
      <c r="I170" s="5">
        <v>0</v>
      </c>
      <c r="J170" s="5">
        <v>5778.44</v>
      </c>
      <c r="K170" s="5">
        <v>0</v>
      </c>
      <c r="L170" s="3">
        <v>5778.44</v>
      </c>
    </row>
    <row r="171" spans="1:12" hidden="1" x14ac:dyDescent="0.25">
      <c r="A171" s="5" t="s">
        <v>207</v>
      </c>
      <c r="B171" s="5" t="s">
        <v>46</v>
      </c>
      <c r="C171" s="5" t="s">
        <v>37</v>
      </c>
      <c r="D171" s="6" t="s">
        <v>38</v>
      </c>
      <c r="E171" s="5" t="s">
        <v>181</v>
      </c>
      <c r="F171" s="5">
        <v>0</v>
      </c>
      <c r="G171" s="5">
        <v>0</v>
      </c>
      <c r="H171" s="5">
        <v>5776.03</v>
      </c>
      <c r="I171" s="5">
        <v>0</v>
      </c>
      <c r="J171" s="5">
        <v>0</v>
      </c>
      <c r="K171" s="5">
        <v>0</v>
      </c>
      <c r="L171" s="3">
        <v>5776.03</v>
      </c>
    </row>
    <row r="172" spans="1:12" hidden="1" x14ac:dyDescent="0.25">
      <c r="A172" s="5" t="s">
        <v>208</v>
      </c>
      <c r="B172" s="5" t="s">
        <v>17</v>
      </c>
      <c r="C172" s="5" t="s">
        <v>37</v>
      </c>
      <c r="D172" s="6" t="s">
        <v>38</v>
      </c>
      <c r="E172" s="5" t="s">
        <v>15</v>
      </c>
      <c r="F172" s="5">
        <v>0</v>
      </c>
      <c r="G172" s="5">
        <v>5545.57</v>
      </c>
      <c r="H172" s="5">
        <v>0</v>
      </c>
      <c r="I172" s="5">
        <v>0</v>
      </c>
      <c r="J172" s="5">
        <v>0</v>
      </c>
      <c r="K172" s="5">
        <v>0</v>
      </c>
      <c r="L172" s="3">
        <v>5545.57</v>
      </c>
    </row>
    <row r="173" spans="1:12" hidden="1" x14ac:dyDescent="0.25">
      <c r="A173" s="5" t="s">
        <v>209</v>
      </c>
      <c r="B173" s="5" t="s">
        <v>46</v>
      </c>
      <c r="C173" s="5" t="s">
        <v>37</v>
      </c>
      <c r="D173" s="6" t="s">
        <v>38</v>
      </c>
      <c r="E173" s="5" t="s">
        <v>79</v>
      </c>
      <c r="F173" s="5">
        <v>0</v>
      </c>
      <c r="G173" s="5">
        <v>5354.27</v>
      </c>
      <c r="H173" s="5">
        <v>0.19</v>
      </c>
      <c r="I173" s="5">
        <v>0</v>
      </c>
      <c r="J173" s="5">
        <v>0</v>
      </c>
      <c r="K173" s="5">
        <v>0</v>
      </c>
      <c r="L173" s="3">
        <v>5354.46</v>
      </c>
    </row>
    <row r="174" spans="1:12" hidden="1" x14ac:dyDescent="0.25">
      <c r="A174" s="5" t="s">
        <v>210</v>
      </c>
      <c r="B174" s="5" t="s">
        <v>17</v>
      </c>
      <c r="C174" s="5" t="s">
        <v>37</v>
      </c>
      <c r="D174" s="6" t="s">
        <v>38</v>
      </c>
      <c r="E174" s="5" t="s">
        <v>15</v>
      </c>
      <c r="F174" s="5">
        <v>0</v>
      </c>
      <c r="G174" s="5">
        <v>4967</v>
      </c>
      <c r="H174" s="5">
        <v>0</v>
      </c>
      <c r="I174" s="5">
        <v>0</v>
      </c>
      <c r="J174" s="5">
        <v>0</v>
      </c>
      <c r="K174" s="5">
        <v>0</v>
      </c>
      <c r="L174" s="3">
        <v>4967</v>
      </c>
    </row>
    <row r="175" spans="1:12" hidden="1" x14ac:dyDescent="0.25">
      <c r="A175" s="5" t="s">
        <v>211</v>
      </c>
      <c r="B175" s="5" t="s">
        <v>17</v>
      </c>
      <c r="C175" s="5" t="s">
        <v>14</v>
      </c>
      <c r="D175" s="6" t="s">
        <v>38</v>
      </c>
      <c r="E175" s="5" t="s">
        <v>41</v>
      </c>
      <c r="F175" s="5">
        <v>0</v>
      </c>
      <c r="G175" s="5">
        <v>0</v>
      </c>
      <c r="H175" s="5">
        <v>0</v>
      </c>
      <c r="I175" s="5">
        <v>0</v>
      </c>
      <c r="J175" s="5">
        <v>4880</v>
      </c>
      <c r="K175" s="5">
        <v>0</v>
      </c>
      <c r="L175" s="3">
        <v>4880</v>
      </c>
    </row>
    <row r="176" spans="1:12" hidden="1" x14ac:dyDescent="0.25">
      <c r="A176" s="5" t="s">
        <v>212</v>
      </c>
      <c r="B176" s="5" t="s">
        <v>46</v>
      </c>
      <c r="C176" s="5" t="s">
        <v>37</v>
      </c>
      <c r="D176" s="6" t="s">
        <v>38</v>
      </c>
      <c r="E176" s="5" t="s">
        <v>79</v>
      </c>
      <c r="F176" s="5">
        <v>0</v>
      </c>
      <c r="G176" s="5">
        <v>4681</v>
      </c>
      <c r="H176" s="5">
        <v>0</v>
      </c>
      <c r="I176" s="5">
        <v>0</v>
      </c>
      <c r="J176" s="5">
        <v>0</v>
      </c>
      <c r="K176" s="5">
        <v>0</v>
      </c>
      <c r="L176" s="3">
        <v>4681</v>
      </c>
    </row>
    <row r="177" spans="1:12" hidden="1" x14ac:dyDescent="0.25">
      <c r="A177" s="5" t="s">
        <v>213</v>
      </c>
      <c r="B177" s="5" t="s">
        <v>46</v>
      </c>
      <c r="C177" s="5" t="s">
        <v>37</v>
      </c>
      <c r="D177" s="6" t="s">
        <v>38</v>
      </c>
      <c r="E177" s="5" t="s">
        <v>127</v>
      </c>
      <c r="F177" s="5">
        <v>0</v>
      </c>
      <c r="G177" s="5">
        <v>0</v>
      </c>
      <c r="H177" s="5">
        <v>0</v>
      </c>
      <c r="I177" s="5">
        <v>0</v>
      </c>
      <c r="J177" s="5">
        <v>4564.09</v>
      </c>
      <c r="K177" s="5">
        <v>0</v>
      </c>
      <c r="L177" s="3">
        <v>4564.09</v>
      </c>
    </row>
    <row r="178" spans="1:12" hidden="1" x14ac:dyDescent="0.25">
      <c r="A178" s="5" t="s">
        <v>214</v>
      </c>
      <c r="B178" s="5" t="s">
        <v>46</v>
      </c>
      <c r="C178" s="5" t="s">
        <v>37</v>
      </c>
      <c r="D178" s="6" t="s">
        <v>38</v>
      </c>
      <c r="E178" s="5" t="s">
        <v>51</v>
      </c>
      <c r="F178" s="5">
        <v>0</v>
      </c>
      <c r="G178" s="5">
        <v>0</v>
      </c>
      <c r="H178" s="5">
        <v>0</v>
      </c>
      <c r="I178" s="5">
        <v>0</v>
      </c>
      <c r="J178" s="5">
        <v>4464.7</v>
      </c>
      <c r="K178" s="5">
        <v>0</v>
      </c>
      <c r="L178" s="3">
        <v>4464.7</v>
      </c>
    </row>
    <row r="179" spans="1:12" hidden="1" x14ac:dyDescent="0.25">
      <c r="A179" s="5" t="s">
        <v>215</v>
      </c>
      <c r="B179" s="5" t="s">
        <v>46</v>
      </c>
      <c r="C179" s="5" t="s">
        <v>37</v>
      </c>
      <c r="D179" s="6" t="s">
        <v>38</v>
      </c>
      <c r="E179" s="5" t="s">
        <v>34</v>
      </c>
      <c r="F179" s="5">
        <v>0</v>
      </c>
      <c r="G179" s="5">
        <v>4460</v>
      </c>
      <c r="H179" s="5">
        <v>0</v>
      </c>
      <c r="I179" s="5">
        <v>0</v>
      </c>
      <c r="J179" s="5">
        <v>0</v>
      </c>
      <c r="K179" s="5">
        <v>0</v>
      </c>
      <c r="L179" s="3">
        <v>4460</v>
      </c>
    </row>
    <row r="180" spans="1:12" hidden="1" x14ac:dyDescent="0.25">
      <c r="A180" s="5" t="s">
        <v>216</v>
      </c>
      <c r="B180" s="5" t="s">
        <v>46</v>
      </c>
      <c r="C180" s="5" t="s">
        <v>37</v>
      </c>
      <c r="D180" s="6" t="s">
        <v>38</v>
      </c>
      <c r="E180" s="5" t="s">
        <v>51</v>
      </c>
      <c r="F180" s="5">
        <v>0</v>
      </c>
      <c r="G180" s="5">
        <v>4377.5</v>
      </c>
      <c r="H180" s="5">
        <v>0</v>
      </c>
      <c r="I180" s="5">
        <v>0</v>
      </c>
      <c r="J180" s="5">
        <v>0</v>
      </c>
      <c r="K180" s="5">
        <v>0</v>
      </c>
      <c r="L180" s="3">
        <v>4377.5</v>
      </c>
    </row>
    <row r="181" spans="1:12" hidden="1" x14ac:dyDescent="0.25">
      <c r="A181" s="5" t="s">
        <v>217</v>
      </c>
      <c r="B181" s="5" t="s">
        <v>46</v>
      </c>
      <c r="C181" s="5" t="s">
        <v>37</v>
      </c>
      <c r="D181" s="6" t="s">
        <v>38</v>
      </c>
      <c r="E181" s="5" t="s">
        <v>51</v>
      </c>
      <c r="F181" s="5">
        <v>0</v>
      </c>
      <c r="G181" s="5">
        <v>0</v>
      </c>
      <c r="H181" s="5">
        <v>0</v>
      </c>
      <c r="I181" s="5">
        <v>0</v>
      </c>
      <c r="J181" s="5">
        <v>4300</v>
      </c>
      <c r="K181" s="5">
        <v>0</v>
      </c>
      <c r="L181" s="3">
        <v>4300</v>
      </c>
    </row>
    <row r="182" spans="1:12" hidden="1" x14ac:dyDescent="0.25">
      <c r="A182" s="5" t="s">
        <v>218</v>
      </c>
      <c r="B182" s="5" t="s">
        <v>46</v>
      </c>
      <c r="C182" s="5" t="s">
        <v>37</v>
      </c>
      <c r="D182" s="6" t="s">
        <v>38</v>
      </c>
      <c r="E182" s="5" t="s">
        <v>48</v>
      </c>
      <c r="F182" s="5">
        <v>0</v>
      </c>
      <c r="G182" s="5">
        <v>1247.3800000000001</v>
      </c>
      <c r="H182" s="5">
        <v>0</v>
      </c>
      <c r="I182" s="5">
        <v>0</v>
      </c>
      <c r="J182" s="5">
        <v>2944.7</v>
      </c>
      <c r="K182" s="5">
        <v>0</v>
      </c>
      <c r="L182" s="3">
        <v>4192.08</v>
      </c>
    </row>
    <row r="183" spans="1:12" hidden="1" x14ac:dyDescent="0.25">
      <c r="A183" s="5" t="s">
        <v>219</v>
      </c>
      <c r="B183" s="5" t="s">
        <v>46</v>
      </c>
      <c r="C183" s="5" t="s">
        <v>37</v>
      </c>
      <c r="D183" s="6" t="s">
        <v>38</v>
      </c>
      <c r="E183" s="5" t="s">
        <v>51</v>
      </c>
      <c r="F183" s="5">
        <v>0</v>
      </c>
      <c r="G183" s="5">
        <v>0</v>
      </c>
      <c r="H183" s="5">
        <v>0</v>
      </c>
      <c r="I183" s="5">
        <v>4072</v>
      </c>
      <c r="J183" s="5">
        <v>0</v>
      </c>
      <c r="K183" s="5">
        <v>0</v>
      </c>
      <c r="L183" s="3">
        <v>4072</v>
      </c>
    </row>
    <row r="184" spans="1:12" hidden="1" x14ac:dyDescent="0.25">
      <c r="A184" s="5" t="s">
        <v>220</v>
      </c>
      <c r="B184" s="5" t="s">
        <v>46</v>
      </c>
      <c r="C184" s="5" t="s">
        <v>18</v>
      </c>
      <c r="D184" s="6" t="s">
        <v>19</v>
      </c>
      <c r="E184" s="5" t="s">
        <v>34</v>
      </c>
      <c r="F184" s="5">
        <v>0</v>
      </c>
      <c r="G184" s="5">
        <v>3971.5</v>
      </c>
      <c r="H184" s="5">
        <v>0</v>
      </c>
      <c r="I184" s="5">
        <v>0</v>
      </c>
      <c r="J184" s="5">
        <v>0</v>
      </c>
      <c r="K184" s="5">
        <v>0</v>
      </c>
      <c r="L184" s="3">
        <v>3971.5</v>
      </c>
    </row>
    <row r="185" spans="1:12" hidden="1" x14ac:dyDescent="0.25">
      <c r="A185" s="5" t="s">
        <v>221</v>
      </c>
      <c r="B185" s="5" t="s">
        <v>17</v>
      </c>
      <c r="C185" s="5" t="s">
        <v>18</v>
      </c>
      <c r="D185" s="6" t="s">
        <v>21</v>
      </c>
      <c r="E185" s="5" t="s">
        <v>15</v>
      </c>
      <c r="F185" s="5">
        <v>0</v>
      </c>
      <c r="G185" s="5">
        <v>0</v>
      </c>
      <c r="H185" s="5">
        <v>0</v>
      </c>
      <c r="I185" s="5">
        <v>0</v>
      </c>
      <c r="J185" s="5">
        <v>3826.2</v>
      </c>
      <c r="K185" s="5">
        <v>0</v>
      </c>
      <c r="L185" s="3">
        <v>3826.2</v>
      </c>
    </row>
    <row r="186" spans="1:12" hidden="1" x14ac:dyDescent="0.25">
      <c r="A186" s="5" t="s">
        <v>222</v>
      </c>
      <c r="B186" s="5" t="s">
        <v>46</v>
      </c>
      <c r="C186" s="5" t="s">
        <v>37</v>
      </c>
      <c r="D186" s="6" t="s">
        <v>38</v>
      </c>
      <c r="E186" s="5" t="s">
        <v>34</v>
      </c>
      <c r="F186" s="5">
        <v>0</v>
      </c>
      <c r="G186" s="5">
        <v>3745</v>
      </c>
      <c r="H186" s="5">
        <v>0</v>
      </c>
      <c r="I186" s="5">
        <v>0</v>
      </c>
      <c r="J186" s="5">
        <v>0</v>
      </c>
      <c r="K186" s="5">
        <v>0</v>
      </c>
      <c r="L186" s="3">
        <v>3745</v>
      </c>
    </row>
    <row r="187" spans="1:12" hidden="1" x14ac:dyDescent="0.25">
      <c r="A187" s="5" t="s">
        <v>223</v>
      </c>
      <c r="B187" s="5" t="s">
        <v>46</v>
      </c>
      <c r="C187" s="5" t="s">
        <v>37</v>
      </c>
      <c r="D187" s="6" t="s">
        <v>38</v>
      </c>
      <c r="E187" s="5" t="s">
        <v>79</v>
      </c>
      <c r="F187" s="5">
        <v>0</v>
      </c>
      <c r="G187" s="5">
        <v>0</v>
      </c>
      <c r="H187" s="5">
        <v>0</v>
      </c>
      <c r="I187" s="5">
        <v>0</v>
      </c>
      <c r="J187" s="5">
        <v>3615.02</v>
      </c>
      <c r="K187" s="5">
        <v>0</v>
      </c>
      <c r="L187" s="3">
        <v>3615.02</v>
      </c>
    </row>
    <row r="188" spans="1:12" hidden="1" x14ac:dyDescent="0.25">
      <c r="A188" s="5" t="s">
        <v>224</v>
      </c>
      <c r="B188" s="5" t="s">
        <v>17</v>
      </c>
      <c r="C188" s="5" t="s">
        <v>37</v>
      </c>
      <c r="D188" s="6" t="s">
        <v>38</v>
      </c>
      <c r="E188" s="5" t="s">
        <v>15</v>
      </c>
      <c r="F188" s="5">
        <v>0</v>
      </c>
      <c r="G188" s="5">
        <v>0</v>
      </c>
      <c r="H188" s="5">
        <v>3480</v>
      </c>
      <c r="I188" s="5">
        <v>0</v>
      </c>
      <c r="J188" s="5">
        <v>0</v>
      </c>
      <c r="K188" s="5">
        <v>0</v>
      </c>
      <c r="L188" s="3">
        <v>3480</v>
      </c>
    </row>
    <row r="189" spans="1:12" hidden="1" x14ac:dyDescent="0.25">
      <c r="A189" s="5" t="s">
        <v>225</v>
      </c>
      <c r="B189" s="5" t="s">
        <v>46</v>
      </c>
      <c r="C189" s="5" t="s">
        <v>37</v>
      </c>
      <c r="D189" s="6" t="s">
        <v>38</v>
      </c>
      <c r="E189" s="5" t="s">
        <v>34</v>
      </c>
      <c r="F189" s="5">
        <v>0</v>
      </c>
      <c r="G189" s="5">
        <v>0</v>
      </c>
      <c r="H189" s="5">
        <v>0</v>
      </c>
      <c r="I189" s="5">
        <v>0</v>
      </c>
      <c r="J189" s="5">
        <v>3468.5</v>
      </c>
      <c r="K189" s="5">
        <v>0</v>
      </c>
      <c r="L189" s="3">
        <v>3468.5</v>
      </c>
    </row>
    <row r="190" spans="1:12" hidden="1" x14ac:dyDescent="0.25">
      <c r="A190" s="5" t="s">
        <v>226</v>
      </c>
      <c r="B190" s="5" t="s">
        <v>46</v>
      </c>
      <c r="C190" s="5" t="s">
        <v>37</v>
      </c>
      <c r="D190" s="6" t="s">
        <v>38</v>
      </c>
      <c r="E190" s="5" t="s">
        <v>51</v>
      </c>
      <c r="F190" s="5">
        <v>0</v>
      </c>
      <c r="G190" s="5">
        <v>3401</v>
      </c>
      <c r="H190" s="5">
        <v>0</v>
      </c>
      <c r="I190" s="5">
        <v>0</v>
      </c>
      <c r="J190" s="5">
        <v>0</v>
      </c>
      <c r="K190" s="5">
        <v>0</v>
      </c>
      <c r="L190" s="3">
        <v>3401</v>
      </c>
    </row>
    <row r="191" spans="1:12" hidden="1" x14ac:dyDescent="0.25">
      <c r="A191" s="5" t="s">
        <v>227</v>
      </c>
      <c r="B191" s="5" t="s">
        <v>46</v>
      </c>
      <c r="C191" s="5" t="s">
        <v>37</v>
      </c>
      <c r="D191" s="6" t="s">
        <v>38</v>
      </c>
      <c r="E191" s="5" t="s">
        <v>181</v>
      </c>
      <c r="F191" s="5">
        <v>0</v>
      </c>
      <c r="G191" s="5">
        <v>3325</v>
      </c>
      <c r="H191" s="5">
        <v>0</v>
      </c>
      <c r="I191" s="5">
        <v>0</v>
      </c>
      <c r="J191" s="5">
        <v>0</v>
      </c>
      <c r="K191" s="5">
        <v>0</v>
      </c>
      <c r="L191" s="3">
        <v>3325</v>
      </c>
    </row>
    <row r="192" spans="1:12" hidden="1" x14ac:dyDescent="0.25">
      <c r="A192" s="5" t="s">
        <v>228</v>
      </c>
      <c r="B192" s="5" t="s">
        <v>46</v>
      </c>
      <c r="C192" s="5" t="s">
        <v>37</v>
      </c>
      <c r="D192" s="6" t="s">
        <v>38</v>
      </c>
      <c r="E192" s="5" t="s">
        <v>142</v>
      </c>
      <c r="F192" s="5">
        <v>0</v>
      </c>
      <c r="G192" s="5">
        <v>3205.03</v>
      </c>
      <c r="H192" s="5">
        <v>0</v>
      </c>
      <c r="I192" s="5">
        <v>0</v>
      </c>
      <c r="J192" s="5">
        <v>0</v>
      </c>
      <c r="K192" s="5">
        <v>0</v>
      </c>
      <c r="L192" s="3">
        <v>3205.03</v>
      </c>
    </row>
    <row r="193" spans="1:12" hidden="1" x14ac:dyDescent="0.25">
      <c r="A193" s="5" t="s">
        <v>229</v>
      </c>
      <c r="B193" s="5" t="s">
        <v>46</v>
      </c>
      <c r="C193" s="5" t="s">
        <v>37</v>
      </c>
      <c r="D193" s="6" t="s">
        <v>38</v>
      </c>
      <c r="E193" s="5" t="s">
        <v>34</v>
      </c>
      <c r="F193" s="5">
        <v>0</v>
      </c>
      <c r="G193" s="5">
        <v>0</v>
      </c>
      <c r="H193" s="5">
        <v>0</v>
      </c>
      <c r="I193" s="5">
        <v>0</v>
      </c>
      <c r="J193" s="5">
        <v>3205</v>
      </c>
      <c r="K193" s="5">
        <v>0</v>
      </c>
      <c r="L193" s="3">
        <v>3205</v>
      </c>
    </row>
    <row r="194" spans="1:12" hidden="1" x14ac:dyDescent="0.25">
      <c r="A194" s="5" t="s">
        <v>230</v>
      </c>
      <c r="B194" s="5" t="s">
        <v>46</v>
      </c>
      <c r="C194" s="5" t="s">
        <v>37</v>
      </c>
      <c r="D194" s="6" t="s">
        <v>38</v>
      </c>
      <c r="E194" s="5" t="s">
        <v>142</v>
      </c>
      <c r="F194" s="5">
        <v>0</v>
      </c>
      <c r="G194" s="5">
        <v>3162.6</v>
      </c>
      <c r="H194" s="5">
        <v>0</v>
      </c>
      <c r="I194" s="5">
        <v>0</v>
      </c>
      <c r="J194" s="5">
        <v>0</v>
      </c>
      <c r="K194" s="5">
        <v>0</v>
      </c>
      <c r="L194" s="3">
        <v>3162.6</v>
      </c>
    </row>
    <row r="195" spans="1:12" hidden="1" x14ac:dyDescent="0.25">
      <c r="A195" s="5" t="s">
        <v>231</v>
      </c>
      <c r="B195" s="5" t="s">
        <v>46</v>
      </c>
      <c r="C195" s="5" t="s">
        <v>18</v>
      </c>
      <c r="D195" s="6" t="s">
        <v>31</v>
      </c>
      <c r="E195" s="5" t="s">
        <v>51</v>
      </c>
      <c r="F195" s="5">
        <v>0</v>
      </c>
      <c r="G195" s="5">
        <v>0</v>
      </c>
      <c r="H195" s="5">
        <v>0</v>
      </c>
      <c r="I195" s="5">
        <v>0</v>
      </c>
      <c r="J195" s="5">
        <v>2794.66</v>
      </c>
      <c r="K195" s="5">
        <v>0</v>
      </c>
      <c r="L195" s="3">
        <v>2794.66</v>
      </c>
    </row>
    <row r="196" spans="1:12" hidden="1" x14ac:dyDescent="0.25">
      <c r="A196" s="5" t="s">
        <v>232</v>
      </c>
      <c r="B196" s="5" t="s">
        <v>46</v>
      </c>
      <c r="C196" s="5" t="s">
        <v>37</v>
      </c>
      <c r="D196" s="6" t="s">
        <v>38</v>
      </c>
      <c r="E196" s="5" t="s">
        <v>127</v>
      </c>
      <c r="F196" s="5">
        <v>0</v>
      </c>
      <c r="G196" s="5">
        <v>2625</v>
      </c>
      <c r="H196" s="5">
        <v>0</v>
      </c>
      <c r="I196" s="5">
        <v>0</v>
      </c>
      <c r="J196" s="5">
        <v>0</v>
      </c>
      <c r="K196" s="5">
        <v>0</v>
      </c>
      <c r="L196" s="3">
        <v>2625</v>
      </c>
    </row>
    <row r="197" spans="1:12" hidden="1" x14ac:dyDescent="0.25">
      <c r="A197" s="5" t="s">
        <v>233</v>
      </c>
      <c r="B197" s="5" t="s">
        <v>46</v>
      </c>
      <c r="C197" s="5" t="s">
        <v>37</v>
      </c>
      <c r="D197" s="6" t="s">
        <v>38</v>
      </c>
      <c r="E197" s="5" t="s">
        <v>51</v>
      </c>
      <c r="F197" s="5">
        <v>0</v>
      </c>
      <c r="G197" s="5">
        <v>0</v>
      </c>
      <c r="H197" s="5">
        <v>0</v>
      </c>
      <c r="I197" s="5">
        <v>0</v>
      </c>
      <c r="J197" s="5">
        <v>2433.39</v>
      </c>
      <c r="K197" s="5">
        <v>0</v>
      </c>
      <c r="L197" s="3">
        <v>2433.39</v>
      </c>
    </row>
    <row r="198" spans="1:12" hidden="1" x14ac:dyDescent="0.25">
      <c r="A198" s="5" t="s">
        <v>234</v>
      </c>
      <c r="B198" s="5" t="s">
        <v>46</v>
      </c>
      <c r="C198" s="5" t="s">
        <v>37</v>
      </c>
      <c r="D198" s="6" t="s">
        <v>38</v>
      </c>
      <c r="E198" s="5" t="s">
        <v>127</v>
      </c>
      <c r="F198" s="5">
        <v>0</v>
      </c>
      <c r="G198" s="5">
        <v>2425.5</v>
      </c>
      <c r="H198" s="5">
        <v>0.04</v>
      </c>
      <c r="I198" s="5">
        <v>0</v>
      </c>
      <c r="J198" s="5">
        <v>0</v>
      </c>
      <c r="K198" s="5">
        <v>0</v>
      </c>
      <c r="L198" s="3">
        <v>2425.54</v>
      </c>
    </row>
    <row r="199" spans="1:12" hidden="1" x14ac:dyDescent="0.25">
      <c r="A199" s="5" t="s">
        <v>235</v>
      </c>
      <c r="B199" s="5" t="s">
        <v>46</v>
      </c>
      <c r="C199" s="5" t="s">
        <v>37</v>
      </c>
      <c r="D199" s="6" t="s">
        <v>38</v>
      </c>
      <c r="E199" s="5" t="s">
        <v>181</v>
      </c>
      <c r="F199" s="5">
        <v>0</v>
      </c>
      <c r="G199" s="5">
        <v>0</v>
      </c>
      <c r="H199" s="5">
        <v>0</v>
      </c>
      <c r="I199" s="5">
        <v>0</v>
      </c>
      <c r="J199" s="5">
        <v>2180.4899999999998</v>
      </c>
      <c r="K199" s="5">
        <v>0</v>
      </c>
      <c r="L199" s="3">
        <v>2180.4899999999998</v>
      </c>
    </row>
    <row r="200" spans="1:12" hidden="1" x14ac:dyDescent="0.25">
      <c r="A200" s="5" t="s">
        <v>236</v>
      </c>
      <c r="B200" s="5" t="s">
        <v>46</v>
      </c>
      <c r="C200" s="5" t="s">
        <v>37</v>
      </c>
      <c r="D200" s="6" t="s">
        <v>38</v>
      </c>
      <c r="E200" s="5" t="s">
        <v>51</v>
      </c>
      <c r="F200" s="5">
        <v>0</v>
      </c>
      <c r="G200" s="5">
        <v>0</v>
      </c>
      <c r="H200" s="5">
        <v>0</v>
      </c>
      <c r="I200" s="5">
        <v>0</v>
      </c>
      <c r="J200" s="5">
        <v>2041</v>
      </c>
      <c r="K200" s="5">
        <v>0</v>
      </c>
      <c r="L200" s="3">
        <v>2041</v>
      </c>
    </row>
    <row r="201" spans="1:12" hidden="1" x14ac:dyDescent="0.25">
      <c r="A201" s="5" t="s">
        <v>237</v>
      </c>
      <c r="B201" s="5" t="s">
        <v>46</v>
      </c>
      <c r="C201" s="5" t="s">
        <v>37</v>
      </c>
      <c r="D201" s="6" t="s">
        <v>38</v>
      </c>
      <c r="E201" s="5" t="s">
        <v>79</v>
      </c>
      <c r="F201" s="5">
        <v>0</v>
      </c>
      <c r="G201" s="5">
        <v>1845.37</v>
      </c>
      <c r="H201" s="5">
        <v>5</v>
      </c>
      <c r="I201" s="5">
        <v>0</v>
      </c>
      <c r="J201" s="5">
        <v>0</v>
      </c>
      <c r="K201" s="5">
        <v>0</v>
      </c>
      <c r="L201" s="3">
        <v>1850.37</v>
      </c>
    </row>
    <row r="202" spans="1:12" hidden="1" x14ac:dyDescent="0.25">
      <c r="A202" s="5" t="s">
        <v>238</v>
      </c>
      <c r="B202" s="5" t="s">
        <v>46</v>
      </c>
      <c r="C202" s="5" t="s">
        <v>37</v>
      </c>
      <c r="D202" s="6" t="s">
        <v>38</v>
      </c>
      <c r="E202" s="5" t="s">
        <v>127</v>
      </c>
      <c r="F202" s="5">
        <v>0</v>
      </c>
      <c r="G202" s="5">
        <v>0</v>
      </c>
      <c r="H202" s="5">
        <v>0</v>
      </c>
      <c r="I202" s="5">
        <v>0</v>
      </c>
      <c r="J202" s="5">
        <v>1698.72</v>
      </c>
      <c r="K202" s="5">
        <v>0</v>
      </c>
      <c r="L202" s="3">
        <v>1698.72</v>
      </c>
    </row>
    <row r="203" spans="1:12" hidden="1" x14ac:dyDescent="0.25">
      <c r="A203" s="5" t="s">
        <v>239</v>
      </c>
      <c r="B203" s="5" t="s">
        <v>46</v>
      </c>
      <c r="C203" s="5" t="s">
        <v>37</v>
      </c>
      <c r="D203" s="6" t="s">
        <v>38</v>
      </c>
      <c r="E203" s="5" t="s">
        <v>48</v>
      </c>
      <c r="F203" s="5">
        <v>0</v>
      </c>
      <c r="G203" s="5">
        <v>1626.5</v>
      </c>
      <c r="H203" s="5">
        <v>0</v>
      </c>
      <c r="I203" s="5">
        <v>0</v>
      </c>
      <c r="J203" s="5">
        <v>0</v>
      </c>
      <c r="K203" s="5">
        <v>0</v>
      </c>
      <c r="L203" s="3">
        <v>1626.5</v>
      </c>
    </row>
    <row r="204" spans="1:12" hidden="1" x14ac:dyDescent="0.25">
      <c r="A204" s="5" t="s">
        <v>240</v>
      </c>
      <c r="B204" s="5" t="s">
        <v>46</v>
      </c>
      <c r="C204" s="5" t="s">
        <v>37</v>
      </c>
      <c r="D204" s="6" t="s">
        <v>38</v>
      </c>
      <c r="E204" s="5" t="s">
        <v>48</v>
      </c>
      <c r="F204" s="5">
        <v>0</v>
      </c>
      <c r="G204" s="5">
        <v>1606.11</v>
      </c>
      <c r="H204" s="5">
        <v>0</v>
      </c>
      <c r="I204" s="5">
        <v>0</v>
      </c>
      <c r="J204" s="5">
        <v>1</v>
      </c>
      <c r="K204" s="5">
        <v>0</v>
      </c>
      <c r="L204" s="3">
        <v>1607.11</v>
      </c>
    </row>
    <row r="205" spans="1:12" hidden="1" x14ac:dyDescent="0.25">
      <c r="A205" s="5" t="s">
        <v>241</v>
      </c>
      <c r="B205" s="5" t="s">
        <v>46</v>
      </c>
      <c r="C205" s="5" t="s">
        <v>37</v>
      </c>
      <c r="D205" s="6" t="s">
        <v>38</v>
      </c>
      <c r="E205" s="5" t="s">
        <v>48</v>
      </c>
      <c r="F205" s="5">
        <v>0</v>
      </c>
      <c r="G205" s="5">
        <v>64.010000000000005</v>
      </c>
      <c r="H205" s="5">
        <v>1500</v>
      </c>
      <c r="I205" s="5">
        <v>0</v>
      </c>
      <c r="J205" s="5">
        <v>0</v>
      </c>
      <c r="K205" s="5">
        <v>0</v>
      </c>
      <c r="L205" s="3">
        <v>1564.01</v>
      </c>
    </row>
    <row r="206" spans="1:12" hidden="1" x14ac:dyDescent="0.25">
      <c r="A206" s="5" t="s">
        <v>242</v>
      </c>
      <c r="B206" s="5" t="s">
        <v>46</v>
      </c>
      <c r="C206" s="5" t="s">
        <v>18</v>
      </c>
      <c r="D206" s="6" t="s">
        <v>19</v>
      </c>
      <c r="E206" s="5" t="s">
        <v>127</v>
      </c>
      <c r="F206" s="5">
        <v>0</v>
      </c>
      <c r="G206" s="5">
        <v>0</v>
      </c>
      <c r="H206" s="5">
        <v>0</v>
      </c>
      <c r="I206" s="5">
        <v>0</v>
      </c>
      <c r="J206" s="5">
        <v>1500</v>
      </c>
      <c r="K206" s="5">
        <v>0</v>
      </c>
      <c r="L206" s="3">
        <v>1500</v>
      </c>
    </row>
    <row r="207" spans="1:12" hidden="1" x14ac:dyDescent="0.25">
      <c r="A207" s="5" t="s">
        <v>243</v>
      </c>
      <c r="B207" s="5" t="s">
        <v>46</v>
      </c>
      <c r="C207" s="5" t="s">
        <v>37</v>
      </c>
      <c r="D207" s="6" t="s">
        <v>38</v>
      </c>
      <c r="E207" s="5" t="s">
        <v>34</v>
      </c>
      <c r="F207" s="5">
        <v>0</v>
      </c>
      <c r="G207" s="5">
        <v>0</v>
      </c>
      <c r="H207" s="5">
        <v>0</v>
      </c>
      <c r="I207" s="5">
        <v>0</v>
      </c>
      <c r="J207" s="5">
        <v>1500</v>
      </c>
      <c r="K207" s="5">
        <v>0</v>
      </c>
      <c r="L207" s="3">
        <v>1500</v>
      </c>
    </row>
    <row r="208" spans="1:12" hidden="1" x14ac:dyDescent="0.25">
      <c r="A208" s="5" t="s">
        <v>244</v>
      </c>
      <c r="B208" s="5" t="s">
        <v>17</v>
      </c>
      <c r="C208" s="5" t="s">
        <v>37</v>
      </c>
      <c r="D208" s="6" t="s">
        <v>38</v>
      </c>
      <c r="E208" s="5" t="s">
        <v>15</v>
      </c>
      <c r="F208" s="5">
        <v>0</v>
      </c>
      <c r="G208" s="5">
        <v>0.8</v>
      </c>
      <c r="H208" s="5">
        <v>1326.03</v>
      </c>
      <c r="I208" s="5">
        <v>0</v>
      </c>
      <c r="J208" s="5">
        <v>0</v>
      </c>
      <c r="K208" s="5">
        <v>0</v>
      </c>
      <c r="L208" s="3">
        <v>1326.83</v>
      </c>
    </row>
    <row r="209" spans="1:12" x14ac:dyDescent="0.25">
      <c r="A209" s="5" t="s">
        <v>245</v>
      </c>
      <c r="B209" s="5" t="s">
        <v>46</v>
      </c>
      <c r="C209" s="5" t="s">
        <v>37</v>
      </c>
      <c r="D209" s="6" t="s">
        <v>38</v>
      </c>
      <c r="E209" s="5" t="s">
        <v>79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1242</v>
      </c>
      <c r="L209" s="3">
        <v>1242</v>
      </c>
    </row>
    <row r="210" spans="1:12" hidden="1" x14ac:dyDescent="0.25">
      <c r="A210" s="5" t="s">
        <v>246</v>
      </c>
      <c r="B210" s="5" t="s">
        <v>46</v>
      </c>
      <c r="C210" s="5" t="s">
        <v>37</v>
      </c>
      <c r="D210" s="6" t="s">
        <v>38</v>
      </c>
      <c r="E210" s="5" t="s">
        <v>127</v>
      </c>
      <c r="F210" s="5">
        <v>0</v>
      </c>
      <c r="G210" s="5">
        <v>0</v>
      </c>
      <c r="H210" s="5">
        <v>1232.75</v>
      </c>
      <c r="I210" s="5">
        <v>0.25</v>
      </c>
      <c r="J210" s="5">
        <v>-0.25</v>
      </c>
      <c r="K210" s="5">
        <v>0</v>
      </c>
      <c r="L210" s="3">
        <v>1232.75</v>
      </c>
    </row>
    <row r="211" spans="1:12" hidden="1" x14ac:dyDescent="0.25">
      <c r="A211" s="5" t="s">
        <v>247</v>
      </c>
      <c r="B211" s="5" t="s">
        <v>46</v>
      </c>
      <c r="C211" s="5" t="s">
        <v>37</v>
      </c>
      <c r="D211" s="6" t="s">
        <v>38</v>
      </c>
      <c r="E211" s="5" t="s">
        <v>34</v>
      </c>
      <c r="F211" s="5">
        <v>0</v>
      </c>
      <c r="G211" s="5">
        <v>0</v>
      </c>
      <c r="H211" s="5">
        <v>0</v>
      </c>
      <c r="I211" s="5">
        <v>0</v>
      </c>
      <c r="J211" s="5">
        <v>1152.67</v>
      </c>
      <c r="K211" s="5">
        <v>0</v>
      </c>
      <c r="L211" s="3">
        <v>1152.67</v>
      </c>
    </row>
    <row r="212" spans="1:12" hidden="1" x14ac:dyDescent="0.25">
      <c r="A212" s="5" t="s">
        <v>248</v>
      </c>
      <c r="B212" s="5" t="s">
        <v>46</v>
      </c>
      <c r="C212" s="5" t="s">
        <v>37</v>
      </c>
      <c r="D212" s="6" t="s">
        <v>38</v>
      </c>
      <c r="E212" s="5" t="s">
        <v>51</v>
      </c>
      <c r="F212" s="5">
        <v>0</v>
      </c>
      <c r="G212" s="5">
        <v>0</v>
      </c>
      <c r="H212" s="5">
        <v>-1.27</v>
      </c>
      <c r="I212" s="5">
        <v>1127.1500000000001</v>
      </c>
      <c r="J212" s="5">
        <v>0</v>
      </c>
      <c r="K212" s="5">
        <v>0</v>
      </c>
      <c r="L212" s="3">
        <v>1125.8800000000001</v>
      </c>
    </row>
    <row r="213" spans="1:12" hidden="1" x14ac:dyDescent="0.25">
      <c r="A213" s="5" t="s">
        <v>249</v>
      </c>
      <c r="B213" s="5" t="s">
        <v>46</v>
      </c>
      <c r="C213" s="5" t="s">
        <v>37</v>
      </c>
      <c r="D213" s="6" t="s">
        <v>38</v>
      </c>
      <c r="E213" s="5" t="s">
        <v>51</v>
      </c>
      <c r="F213" s="5">
        <v>0</v>
      </c>
      <c r="G213" s="5">
        <v>0</v>
      </c>
      <c r="H213" s="5">
        <v>0</v>
      </c>
      <c r="I213" s="5">
        <v>0</v>
      </c>
      <c r="J213" s="5">
        <v>1017.43</v>
      </c>
      <c r="K213" s="5">
        <v>0</v>
      </c>
      <c r="L213" s="3">
        <v>1017.43</v>
      </c>
    </row>
    <row r="214" spans="1:12" hidden="1" x14ac:dyDescent="0.25">
      <c r="A214" s="5" t="s">
        <v>250</v>
      </c>
      <c r="B214" s="5" t="s">
        <v>17</v>
      </c>
      <c r="C214" s="5" t="s">
        <v>18</v>
      </c>
      <c r="D214" s="6" t="s">
        <v>31</v>
      </c>
      <c r="E214" s="5" t="s">
        <v>15</v>
      </c>
      <c r="F214" s="5">
        <v>0</v>
      </c>
      <c r="G214" s="5">
        <v>0</v>
      </c>
      <c r="H214" s="5">
        <v>0</v>
      </c>
      <c r="I214" s="5">
        <v>0</v>
      </c>
      <c r="J214" s="5">
        <v>1003.26</v>
      </c>
      <c r="K214" s="5">
        <v>0</v>
      </c>
      <c r="L214" s="3">
        <v>1003.26</v>
      </c>
    </row>
    <row r="215" spans="1:12" hidden="1" x14ac:dyDescent="0.25">
      <c r="A215" s="5" t="s">
        <v>251</v>
      </c>
      <c r="B215" s="5" t="s">
        <v>46</v>
      </c>
      <c r="C215" s="5" t="s">
        <v>37</v>
      </c>
      <c r="D215" s="6" t="s">
        <v>38</v>
      </c>
      <c r="E215" s="5" t="s">
        <v>48</v>
      </c>
      <c r="F215" s="5">
        <v>0</v>
      </c>
      <c r="G215" s="5">
        <v>0</v>
      </c>
      <c r="H215" s="5">
        <v>0</v>
      </c>
      <c r="I215" s="5">
        <v>0</v>
      </c>
      <c r="J215" s="5">
        <v>871</v>
      </c>
      <c r="K215" s="5">
        <v>0</v>
      </c>
      <c r="L215" s="3">
        <v>871</v>
      </c>
    </row>
    <row r="216" spans="1:12" hidden="1" x14ac:dyDescent="0.25">
      <c r="A216" s="5" t="s">
        <v>252</v>
      </c>
      <c r="B216" s="5" t="s">
        <v>46</v>
      </c>
      <c r="C216" s="5" t="s">
        <v>37</v>
      </c>
      <c r="D216" s="6" t="s">
        <v>38</v>
      </c>
      <c r="E216" s="5" t="s">
        <v>127</v>
      </c>
      <c r="F216" s="5">
        <v>0</v>
      </c>
      <c r="G216" s="5">
        <v>0</v>
      </c>
      <c r="H216" s="5">
        <v>0</v>
      </c>
      <c r="I216" s="5">
        <v>0</v>
      </c>
      <c r="J216" s="5">
        <v>820</v>
      </c>
      <c r="K216" s="5">
        <v>0</v>
      </c>
      <c r="L216" s="3">
        <v>820</v>
      </c>
    </row>
    <row r="217" spans="1:12" hidden="1" x14ac:dyDescent="0.25">
      <c r="A217" s="5" t="s">
        <v>253</v>
      </c>
      <c r="B217" s="5" t="s">
        <v>46</v>
      </c>
      <c r="C217" s="5" t="s">
        <v>37</v>
      </c>
      <c r="D217" s="6" t="s">
        <v>38</v>
      </c>
      <c r="E217" s="5" t="s">
        <v>127</v>
      </c>
      <c r="F217" s="5">
        <v>0</v>
      </c>
      <c r="G217" s="5">
        <v>0</v>
      </c>
      <c r="H217" s="5">
        <v>652.76</v>
      </c>
      <c r="I217" s="5">
        <v>0</v>
      </c>
      <c r="J217" s="5">
        <v>0</v>
      </c>
      <c r="K217" s="5">
        <v>0</v>
      </c>
      <c r="L217" s="3">
        <v>652.76</v>
      </c>
    </row>
    <row r="218" spans="1:12" hidden="1" x14ac:dyDescent="0.25">
      <c r="A218" s="5" t="s">
        <v>254</v>
      </c>
      <c r="B218" s="5" t="s">
        <v>17</v>
      </c>
      <c r="C218" s="5" t="s">
        <v>37</v>
      </c>
      <c r="D218" s="6" t="s">
        <v>38</v>
      </c>
      <c r="E218" s="5" t="s">
        <v>15</v>
      </c>
      <c r="F218" s="5">
        <v>0</v>
      </c>
      <c r="G218" s="5">
        <v>0</v>
      </c>
      <c r="H218" s="5">
        <v>0</v>
      </c>
      <c r="I218" s="5">
        <v>486</v>
      </c>
      <c r="J218" s="5">
        <v>149</v>
      </c>
      <c r="K218" s="5">
        <v>0</v>
      </c>
      <c r="L218" s="3">
        <v>635</v>
      </c>
    </row>
    <row r="219" spans="1:12" hidden="1" x14ac:dyDescent="0.25">
      <c r="A219" s="5" t="s">
        <v>255</v>
      </c>
      <c r="B219" s="5" t="s">
        <v>46</v>
      </c>
      <c r="C219" s="5" t="s">
        <v>37</v>
      </c>
      <c r="D219" s="6" t="s">
        <v>38</v>
      </c>
      <c r="E219" s="5" t="s">
        <v>127</v>
      </c>
      <c r="F219" s="5">
        <v>0</v>
      </c>
      <c r="G219" s="5">
        <v>0</v>
      </c>
      <c r="H219" s="5">
        <v>0</v>
      </c>
      <c r="I219" s="5">
        <v>0</v>
      </c>
      <c r="J219" s="5">
        <v>622.5</v>
      </c>
      <c r="K219" s="5">
        <v>0</v>
      </c>
      <c r="L219" s="3">
        <v>622.5</v>
      </c>
    </row>
    <row r="220" spans="1:12" hidden="1" x14ac:dyDescent="0.25">
      <c r="A220" s="5" t="s">
        <v>256</v>
      </c>
      <c r="B220" s="5" t="s">
        <v>46</v>
      </c>
      <c r="C220" s="5" t="s">
        <v>37</v>
      </c>
      <c r="D220" s="6" t="s">
        <v>38</v>
      </c>
      <c r="E220" s="5" t="s">
        <v>127</v>
      </c>
      <c r="F220" s="5">
        <v>0</v>
      </c>
      <c r="G220" s="5">
        <v>0</v>
      </c>
      <c r="H220" s="5">
        <v>520</v>
      </c>
      <c r="I220" s="5">
        <v>0</v>
      </c>
      <c r="J220" s="5">
        <v>0</v>
      </c>
      <c r="K220" s="5">
        <v>0</v>
      </c>
      <c r="L220" s="3">
        <v>520</v>
      </c>
    </row>
    <row r="221" spans="1:12" hidden="1" x14ac:dyDescent="0.25">
      <c r="A221" s="5" t="s">
        <v>257</v>
      </c>
      <c r="B221" s="5" t="s">
        <v>46</v>
      </c>
      <c r="C221" s="5" t="s">
        <v>37</v>
      </c>
      <c r="D221" s="6" t="s">
        <v>38</v>
      </c>
      <c r="E221" s="5" t="s">
        <v>79</v>
      </c>
      <c r="F221" s="5">
        <v>0</v>
      </c>
      <c r="G221" s="5">
        <v>0</v>
      </c>
      <c r="H221" s="5">
        <v>507</v>
      </c>
      <c r="I221" s="5">
        <v>0</v>
      </c>
      <c r="J221" s="5">
        <v>0</v>
      </c>
      <c r="K221" s="5">
        <v>0</v>
      </c>
      <c r="L221" s="3">
        <v>507</v>
      </c>
    </row>
    <row r="222" spans="1:12" hidden="1" x14ac:dyDescent="0.25">
      <c r="A222" s="5" t="s">
        <v>258</v>
      </c>
      <c r="B222" s="5" t="s">
        <v>17</v>
      </c>
      <c r="C222" s="5" t="s">
        <v>14</v>
      </c>
      <c r="D222" s="6">
        <v>0</v>
      </c>
      <c r="E222" s="5" t="s">
        <v>41</v>
      </c>
      <c r="F222" s="5">
        <v>0</v>
      </c>
      <c r="G222" s="5">
        <v>0</v>
      </c>
      <c r="H222" s="5">
        <v>0</v>
      </c>
      <c r="I222" s="5">
        <v>0</v>
      </c>
      <c r="J222" s="5">
        <v>454</v>
      </c>
      <c r="K222" s="5">
        <v>0</v>
      </c>
      <c r="L222" s="3">
        <v>454</v>
      </c>
    </row>
    <row r="223" spans="1:12" hidden="1" x14ac:dyDescent="0.25">
      <c r="A223" s="5" t="s">
        <v>259</v>
      </c>
      <c r="B223" s="5" t="s">
        <v>46</v>
      </c>
      <c r="C223" s="5" t="s">
        <v>37</v>
      </c>
      <c r="D223" s="6" t="s">
        <v>38</v>
      </c>
      <c r="E223" s="5" t="s">
        <v>34</v>
      </c>
      <c r="F223" s="5">
        <v>0</v>
      </c>
      <c r="G223" s="5">
        <v>450</v>
      </c>
      <c r="H223" s="5">
        <v>0</v>
      </c>
      <c r="I223" s="5">
        <v>0</v>
      </c>
      <c r="J223" s="5">
        <v>0</v>
      </c>
      <c r="K223" s="5">
        <v>0</v>
      </c>
      <c r="L223" s="3">
        <v>450</v>
      </c>
    </row>
    <row r="224" spans="1:12" hidden="1" x14ac:dyDescent="0.25">
      <c r="A224" s="5" t="s">
        <v>260</v>
      </c>
      <c r="B224" s="5" t="s">
        <v>46</v>
      </c>
      <c r="C224" s="5" t="s">
        <v>37</v>
      </c>
      <c r="D224" s="6" t="s">
        <v>38</v>
      </c>
      <c r="E224" s="5" t="s">
        <v>51</v>
      </c>
      <c r="F224" s="5">
        <v>0</v>
      </c>
      <c r="G224" s="5">
        <v>435</v>
      </c>
      <c r="H224" s="5">
        <v>0</v>
      </c>
      <c r="I224" s="5">
        <v>0</v>
      </c>
      <c r="J224" s="5">
        <v>0</v>
      </c>
      <c r="K224" s="5">
        <v>0</v>
      </c>
      <c r="L224" s="3">
        <v>435</v>
      </c>
    </row>
    <row r="225" spans="1:12" hidden="1" x14ac:dyDescent="0.25">
      <c r="A225" s="5" t="s">
        <v>261</v>
      </c>
      <c r="B225" s="5" t="s">
        <v>46</v>
      </c>
      <c r="C225" s="5" t="s">
        <v>37</v>
      </c>
      <c r="D225" s="6" t="s">
        <v>38</v>
      </c>
      <c r="E225" s="5" t="s">
        <v>34</v>
      </c>
      <c r="F225" s="5">
        <v>0</v>
      </c>
      <c r="G225" s="5">
        <v>435</v>
      </c>
      <c r="H225" s="5">
        <v>0</v>
      </c>
      <c r="I225" s="5">
        <v>0</v>
      </c>
      <c r="J225" s="5">
        <v>0</v>
      </c>
      <c r="K225" s="5">
        <v>0</v>
      </c>
      <c r="L225" s="3">
        <v>435</v>
      </c>
    </row>
    <row r="226" spans="1:12" hidden="1" x14ac:dyDescent="0.25">
      <c r="A226" s="5" t="s">
        <v>262</v>
      </c>
      <c r="B226" s="5" t="s">
        <v>46</v>
      </c>
      <c r="C226" s="5" t="s">
        <v>37</v>
      </c>
      <c r="D226" s="6" t="s">
        <v>38</v>
      </c>
      <c r="E226" s="5" t="s">
        <v>127</v>
      </c>
      <c r="F226" s="5">
        <v>0</v>
      </c>
      <c r="G226" s="5">
        <v>0</v>
      </c>
      <c r="H226" s="5">
        <v>0</v>
      </c>
      <c r="I226" s="5">
        <v>0</v>
      </c>
      <c r="J226" s="5">
        <v>365</v>
      </c>
      <c r="K226" s="5">
        <v>0</v>
      </c>
      <c r="L226" s="3">
        <v>365</v>
      </c>
    </row>
    <row r="227" spans="1:12" hidden="1" x14ac:dyDescent="0.25">
      <c r="A227" s="5" t="s">
        <v>263</v>
      </c>
      <c r="B227" s="5" t="s">
        <v>46</v>
      </c>
      <c r="C227" s="5" t="s">
        <v>37</v>
      </c>
      <c r="D227" s="6" t="s">
        <v>38</v>
      </c>
      <c r="E227" s="5" t="s">
        <v>34</v>
      </c>
      <c r="F227" s="5">
        <v>0</v>
      </c>
      <c r="G227" s="5">
        <v>325.36</v>
      </c>
      <c r="H227" s="5">
        <v>0</v>
      </c>
      <c r="I227" s="5">
        <v>0</v>
      </c>
      <c r="J227" s="5">
        <v>0</v>
      </c>
      <c r="K227" s="5">
        <v>0</v>
      </c>
      <c r="L227" s="3">
        <v>325.36</v>
      </c>
    </row>
    <row r="228" spans="1:12" hidden="1" x14ac:dyDescent="0.25">
      <c r="A228" s="5" t="s">
        <v>264</v>
      </c>
      <c r="B228" s="5" t="s">
        <v>46</v>
      </c>
      <c r="C228" s="5" t="s">
        <v>37</v>
      </c>
      <c r="D228" s="6" t="s">
        <v>38</v>
      </c>
      <c r="E228" s="5" t="s">
        <v>48</v>
      </c>
      <c r="F228" s="5">
        <v>0</v>
      </c>
      <c r="G228" s="5">
        <v>-3.75</v>
      </c>
      <c r="H228" s="5">
        <v>294.75</v>
      </c>
      <c r="I228" s="5">
        <v>0</v>
      </c>
      <c r="J228" s="5">
        <v>0</v>
      </c>
      <c r="K228" s="5">
        <v>0</v>
      </c>
      <c r="L228" s="3">
        <v>291</v>
      </c>
    </row>
    <row r="229" spans="1:12" hidden="1" x14ac:dyDescent="0.25">
      <c r="A229" s="5" t="s">
        <v>265</v>
      </c>
      <c r="B229" s="5" t="s">
        <v>46</v>
      </c>
      <c r="C229" s="5" t="s">
        <v>37</v>
      </c>
      <c r="D229" s="6" t="s">
        <v>38</v>
      </c>
      <c r="E229" s="5" t="s">
        <v>127</v>
      </c>
      <c r="F229" s="5">
        <v>0</v>
      </c>
      <c r="G229" s="5">
        <v>0</v>
      </c>
      <c r="H229" s="5">
        <v>0</v>
      </c>
      <c r="I229" s="5">
        <v>281.5</v>
      </c>
      <c r="J229" s="5">
        <v>0</v>
      </c>
      <c r="K229" s="5">
        <v>0</v>
      </c>
      <c r="L229" s="3">
        <v>281.5</v>
      </c>
    </row>
    <row r="230" spans="1:12" hidden="1" x14ac:dyDescent="0.25">
      <c r="A230" s="5" t="s">
        <v>266</v>
      </c>
      <c r="B230" s="5" t="s">
        <v>46</v>
      </c>
      <c r="C230" s="5" t="s">
        <v>37</v>
      </c>
      <c r="D230" s="6" t="s">
        <v>38</v>
      </c>
      <c r="E230" s="5" t="s">
        <v>79</v>
      </c>
      <c r="F230" s="5">
        <v>0</v>
      </c>
      <c r="G230" s="5">
        <v>0</v>
      </c>
      <c r="H230" s="5">
        <v>246</v>
      </c>
      <c r="I230" s="5">
        <v>-55.48</v>
      </c>
      <c r="J230" s="5">
        <v>0</v>
      </c>
      <c r="K230" s="5">
        <v>0</v>
      </c>
      <c r="L230" s="3">
        <v>190.52</v>
      </c>
    </row>
    <row r="231" spans="1:12" hidden="1" x14ac:dyDescent="0.25">
      <c r="A231" s="5" t="s">
        <v>267</v>
      </c>
      <c r="B231" s="5" t="s">
        <v>46</v>
      </c>
      <c r="C231" s="5" t="s">
        <v>37</v>
      </c>
      <c r="D231" s="6" t="s">
        <v>38</v>
      </c>
      <c r="E231" s="5" t="s">
        <v>51</v>
      </c>
      <c r="F231" s="5">
        <v>0</v>
      </c>
      <c r="G231" s="5">
        <v>-3649.7</v>
      </c>
      <c r="H231" s="5">
        <v>0</v>
      </c>
      <c r="I231" s="5">
        <v>0</v>
      </c>
      <c r="J231" s="5">
        <v>3825</v>
      </c>
      <c r="K231" s="5">
        <v>0</v>
      </c>
      <c r="L231" s="3">
        <v>175.30000000000021</v>
      </c>
    </row>
    <row r="232" spans="1:12" hidden="1" x14ac:dyDescent="0.25">
      <c r="A232" s="5" t="s">
        <v>268</v>
      </c>
      <c r="B232" s="5" t="s">
        <v>46</v>
      </c>
      <c r="C232" s="5" t="s">
        <v>37</v>
      </c>
      <c r="D232" s="6" t="s">
        <v>38</v>
      </c>
      <c r="E232" s="5" t="s">
        <v>127</v>
      </c>
      <c r="F232" s="5">
        <v>0</v>
      </c>
      <c r="G232" s="5">
        <v>-200</v>
      </c>
      <c r="H232" s="5">
        <v>0</v>
      </c>
      <c r="I232" s="5">
        <v>0</v>
      </c>
      <c r="J232" s="5">
        <v>0</v>
      </c>
      <c r="K232" s="5">
        <v>0</v>
      </c>
      <c r="L232" s="3">
        <v>-200</v>
      </c>
    </row>
    <row r="233" spans="1:12" hidden="1" x14ac:dyDescent="0.25">
      <c r="A233" s="5" t="s">
        <v>269</v>
      </c>
      <c r="B233" s="5" t="s">
        <v>46</v>
      </c>
      <c r="C233" s="5" t="s">
        <v>37</v>
      </c>
      <c r="D233" s="6" t="s">
        <v>38</v>
      </c>
      <c r="E233" s="5" t="s">
        <v>34</v>
      </c>
      <c r="F233" s="5">
        <v>0</v>
      </c>
      <c r="G233" s="5">
        <v>-294</v>
      </c>
      <c r="H233" s="5">
        <v>-0.18</v>
      </c>
      <c r="I233" s="5">
        <v>-1.82</v>
      </c>
      <c r="J233" s="5">
        <v>0</v>
      </c>
      <c r="K233" s="5">
        <v>0</v>
      </c>
      <c r="L233" s="3">
        <v>-296</v>
      </c>
    </row>
    <row r="234" spans="1:12" hidden="1" x14ac:dyDescent="0.25">
      <c r="A234" s="5" t="s">
        <v>270</v>
      </c>
      <c r="B234" s="5" t="s">
        <v>46</v>
      </c>
      <c r="C234" s="5" t="s">
        <v>37</v>
      </c>
      <c r="D234" s="6" t="s">
        <v>38</v>
      </c>
      <c r="E234" s="5" t="s">
        <v>79</v>
      </c>
      <c r="F234" s="5">
        <v>0</v>
      </c>
      <c r="G234" s="5">
        <v>-333</v>
      </c>
      <c r="H234" s="5">
        <v>-7.25</v>
      </c>
      <c r="I234" s="5">
        <v>0</v>
      </c>
      <c r="J234" s="5">
        <v>0</v>
      </c>
      <c r="K234" s="5">
        <v>0</v>
      </c>
      <c r="L234" s="3">
        <v>-340.25</v>
      </c>
    </row>
    <row r="235" spans="1:12" hidden="1" x14ac:dyDescent="0.25">
      <c r="A235" s="5" t="s">
        <v>271</v>
      </c>
      <c r="B235" s="5" t="s">
        <v>46</v>
      </c>
      <c r="C235" s="5" t="s">
        <v>37</v>
      </c>
      <c r="D235" s="6" t="s">
        <v>38</v>
      </c>
      <c r="E235" s="5" t="s">
        <v>48</v>
      </c>
      <c r="F235" s="5">
        <v>0</v>
      </c>
      <c r="G235" s="5">
        <v>0</v>
      </c>
      <c r="H235" s="5">
        <v>-360</v>
      </c>
      <c r="I235" s="5">
        <v>0</v>
      </c>
      <c r="J235" s="5">
        <v>0</v>
      </c>
      <c r="K235" s="5">
        <v>0</v>
      </c>
      <c r="L235" s="3">
        <v>-360</v>
      </c>
    </row>
    <row r="236" spans="1:12" hidden="1" x14ac:dyDescent="0.25">
      <c r="A236" s="5" t="s">
        <v>272</v>
      </c>
      <c r="B236" s="5" t="s">
        <v>46</v>
      </c>
      <c r="C236" s="5" t="s">
        <v>37</v>
      </c>
      <c r="D236" s="6" t="s">
        <v>38</v>
      </c>
      <c r="E236" s="5" t="s">
        <v>34</v>
      </c>
      <c r="F236" s="5">
        <v>0</v>
      </c>
      <c r="G236" s="5">
        <v>0</v>
      </c>
      <c r="H236" s="5">
        <v>0</v>
      </c>
      <c r="I236" s="5">
        <v>0</v>
      </c>
      <c r="J236" s="5">
        <v>-400</v>
      </c>
      <c r="K236" s="5">
        <v>0</v>
      </c>
      <c r="L236" s="3">
        <v>-400</v>
      </c>
    </row>
    <row r="237" spans="1:12" hidden="1" x14ac:dyDescent="0.25">
      <c r="A237" s="5" t="s">
        <v>273</v>
      </c>
      <c r="B237" s="5" t="s">
        <v>46</v>
      </c>
      <c r="C237" s="5" t="s">
        <v>37</v>
      </c>
      <c r="D237" s="6" t="s">
        <v>38</v>
      </c>
      <c r="E237" s="5" t="s">
        <v>34</v>
      </c>
      <c r="F237" s="5">
        <v>0</v>
      </c>
      <c r="G237" s="5">
        <v>-433.97</v>
      </c>
      <c r="H237" s="5">
        <v>0</v>
      </c>
      <c r="I237" s="5">
        <v>0</v>
      </c>
      <c r="J237" s="5">
        <v>0</v>
      </c>
      <c r="K237" s="5">
        <v>0</v>
      </c>
      <c r="L237" s="3">
        <v>-433.97</v>
      </c>
    </row>
    <row r="238" spans="1:12" hidden="1" x14ac:dyDescent="0.25">
      <c r="A238" s="5" t="s">
        <v>274</v>
      </c>
      <c r="B238" s="5" t="s">
        <v>46</v>
      </c>
      <c r="C238" s="5" t="s">
        <v>37</v>
      </c>
      <c r="D238" s="6" t="s">
        <v>38</v>
      </c>
      <c r="E238" s="5" t="s">
        <v>34</v>
      </c>
      <c r="F238" s="5">
        <v>0</v>
      </c>
      <c r="G238" s="5">
        <v>-489.76</v>
      </c>
      <c r="H238" s="5">
        <v>0</v>
      </c>
      <c r="I238" s="5">
        <v>0</v>
      </c>
      <c r="J238" s="5">
        <v>0</v>
      </c>
      <c r="K238" s="5">
        <v>0</v>
      </c>
      <c r="L238" s="3">
        <v>-489.76</v>
      </c>
    </row>
    <row r="239" spans="1:12" hidden="1" x14ac:dyDescent="0.25">
      <c r="A239" s="5" t="s">
        <v>275</v>
      </c>
      <c r="B239" s="5" t="s">
        <v>46</v>
      </c>
      <c r="C239" s="5" t="s">
        <v>37</v>
      </c>
      <c r="D239" s="6" t="s">
        <v>38</v>
      </c>
      <c r="E239" s="5" t="s">
        <v>79</v>
      </c>
      <c r="F239" s="5">
        <v>0</v>
      </c>
      <c r="G239" s="5">
        <v>286.57</v>
      </c>
      <c r="H239" s="5">
        <v>0</v>
      </c>
      <c r="I239" s="5">
        <v>0</v>
      </c>
      <c r="J239" s="5">
        <v>-803.57</v>
      </c>
      <c r="K239" s="5">
        <v>0</v>
      </c>
      <c r="L239" s="3">
        <v>-517</v>
      </c>
    </row>
    <row r="240" spans="1:12" hidden="1" x14ac:dyDescent="0.25">
      <c r="A240" s="5" t="s">
        <v>276</v>
      </c>
      <c r="B240" s="5" t="s">
        <v>46</v>
      </c>
      <c r="C240" s="5" t="s">
        <v>37</v>
      </c>
      <c r="D240" s="6" t="s">
        <v>38</v>
      </c>
      <c r="E240" s="5" t="s">
        <v>127</v>
      </c>
      <c r="F240" s="5">
        <v>0</v>
      </c>
      <c r="G240" s="5">
        <v>0</v>
      </c>
      <c r="H240" s="5">
        <v>-635.5</v>
      </c>
      <c r="I240" s="5">
        <v>0</v>
      </c>
      <c r="J240" s="5">
        <v>0</v>
      </c>
      <c r="K240" s="5">
        <v>0</v>
      </c>
      <c r="L240" s="3">
        <v>-635.5</v>
      </c>
    </row>
    <row r="241" spans="1:12" hidden="1" x14ac:dyDescent="0.25">
      <c r="A241" s="5" t="s">
        <v>277</v>
      </c>
      <c r="B241" s="5" t="s">
        <v>17</v>
      </c>
      <c r="C241" s="5" t="s">
        <v>14</v>
      </c>
      <c r="D241" s="6">
        <v>0</v>
      </c>
      <c r="E241" s="5" t="s">
        <v>15</v>
      </c>
      <c r="F241" s="5">
        <v>0</v>
      </c>
      <c r="G241" s="5">
        <v>0</v>
      </c>
      <c r="H241" s="5">
        <v>192332.33</v>
      </c>
      <c r="I241" s="5">
        <v>-206596.33</v>
      </c>
      <c r="J241" s="5">
        <v>13616.33</v>
      </c>
      <c r="K241" s="5">
        <v>0</v>
      </c>
      <c r="L241" s="3">
        <v>-647.67000000000007</v>
      </c>
    </row>
    <row r="242" spans="1:12" hidden="1" x14ac:dyDescent="0.25">
      <c r="A242" s="5" t="s">
        <v>278</v>
      </c>
      <c r="B242" s="5" t="s">
        <v>46</v>
      </c>
      <c r="C242" s="5" t="s">
        <v>37</v>
      </c>
      <c r="D242" s="6" t="s">
        <v>38</v>
      </c>
      <c r="E242" s="5" t="s">
        <v>127</v>
      </c>
      <c r="F242" s="5">
        <v>0</v>
      </c>
      <c r="G242" s="5">
        <v>-789.1</v>
      </c>
      <c r="H242" s="5">
        <v>1</v>
      </c>
      <c r="I242" s="5">
        <v>0</v>
      </c>
      <c r="J242" s="5">
        <v>0</v>
      </c>
      <c r="K242" s="5">
        <v>0</v>
      </c>
      <c r="L242" s="3">
        <v>-788.1</v>
      </c>
    </row>
    <row r="243" spans="1:12" hidden="1" x14ac:dyDescent="0.25">
      <c r="A243" s="5" t="s">
        <v>279</v>
      </c>
      <c r="B243" s="5" t="s">
        <v>46</v>
      </c>
      <c r="C243" s="5" t="s">
        <v>37</v>
      </c>
      <c r="D243" s="6" t="s">
        <v>38</v>
      </c>
      <c r="E243" s="5" t="s">
        <v>79</v>
      </c>
      <c r="F243" s="5">
        <v>0</v>
      </c>
      <c r="G243" s="5">
        <v>-875</v>
      </c>
      <c r="H243" s="5">
        <v>0</v>
      </c>
      <c r="I243" s="5">
        <v>0</v>
      </c>
      <c r="J243" s="5">
        <v>0</v>
      </c>
      <c r="K243" s="5">
        <v>0</v>
      </c>
      <c r="L243" s="3">
        <v>-875</v>
      </c>
    </row>
    <row r="244" spans="1:12" hidden="1" x14ac:dyDescent="0.25">
      <c r="A244" s="5" t="s">
        <v>280</v>
      </c>
      <c r="B244" s="5" t="s">
        <v>46</v>
      </c>
      <c r="C244" s="5" t="s">
        <v>37</v>
      </c>
      <c r="D244" s="6" t="s">
        <v>38</v>
      </c>
      <c r="E244" s="5" t="s">
        <v>181</v>
      </c>
      <c r="F244" s="5">
        <v>0</v>
      </c>
      <c r="G244" s="5">
        <v>0</v>
      </c>
      <c r="H244" s="5">
        <v>0</v>
      </c>
      <c r="I244" s="5">
        <v>0</v>
      </c>
      <c r="J244" s="5">
        <v>-966.1</v>
      </c>
      <c r="K244" s="5">
        <v>0</v>
      </c>
      <c r="L244" s="3">
        <v>-966.1</v>
      </c>
    </row>
    <row r="245" spans="1:12" hidden="1" x14ac:dyDescent="0.25">
      <c r="A245" s="5" t="s">
        <v>281</v>
      </c>
      <c r="B245" s="5" t="s">
        <v>46</v>
      </c>
      <c r="C245" s="5" t="s">
        <v>37</v>
      </c>
      <c r="D245" s="6" t="s">
        <v>38</v>
      </c>
      <c r="E245" s="5" t="s">
        <v>79</v>
      </c>
      <c r="F245" s="5">
        <v>0</v>
      </c>
      <c r="G245" s="5">
        <v>0</v>
      </c>
      <c r="H245" s="5">
        <v>0</v>
      </c>
      <c r="I245" s="5">
        <v>0</v>
      </c>
      <c r="J245" s="5">
        <v>-1009.98</v>
      </c>
      <c r="K245" s="5">
        <v>0</v>
      </c>
      <c r="L245" s="3">
        <v>-1009.98</v>
      </c>
    </row>
    <row r="246" spans="1:12" hidden="1" x14ac:dyDescent="0.25">
      <c r="A246" s="5" t="s">
        <v>282</v>
      </c>
      <c r="B246" s="5" t="s">
        <v>46</v>
      </c>
      <c r="C246" s="5" t="s">
        <v>37</v>
      </c>
      <c r="D246" s="6" t="s">
        <v>38</v>
      </c>
      <c r="E246" s="5" t="s">
        <v>48</v>
      </c>
      <c r="F246" s="5">
        <v>0</v>
      </c>
      <c r="G246" s="5">
        <v>0</v>
      </c>
      <c r="H246" s="5">
        <v>-340</v>
      </c>
      <c r="I246" s="5">
        <v>-1000</v>
      </c>
      <c r="J246" s="5">
        <v>0</v>
      </c>
      <c r="K246" s="5">
        <v>0</v>
      </c>
      <c r="L246" s="3">
        <v>-1340</v>
      </c>
    </row>
    <row r="247" spans="1:12" hidden="1" x14ac:dyDescent="0.25">
      <c r="A247" s="5" t="s">
        <v>283</v>
      </c>
      <c r="B247" s="5" t="s">
        <v>46</v>
      </c>
      <c r="C247" s="5" t="s">
        <v>37</v>
      </c>
      <c r="D247" s="6" t="s">
        <v>38</v>
      </c>
      <c r="E247" s="5" t="s">
        <v>79</v>
      </c>
      <c r="F247" s="5">
        <v>0</v>
      </c>
      <c r="G247" s="5">
        <v>0</v>
      </c>
      <c r="H247" s="5">
        <v>0</v>
      </c>
      <c r="I247" s="5">
        <v>0</v>
      </c>
      <c r="J247" s="5">
        <v>-1421.62</v>
      </c>
      <c r="K247" s="5">
        <v>0</v>
      </c>
      <c r="L247" s="3">
        <v>-1421.62</v>
      </c>
    </row>
    <row r="248" spans="1:12" hidden="1" x14ac:dyDescent="0.25">
      <c r="A248" s="5" t="s">
        <v>284</v>
      </c>
      <c r="B248" s="5" t="s">
        <v>46</v>
      </c>
      <c r="C248" s="5" t="s">
        <v>37</v>
      </c>
      <c r="D248" s="6" t="s">
        <v>38</v>
      </c>
      <c r="E248" s="5" t="s">
        <v>127</v>
      </c>
      <c r="F248" s="5">
        <v>0</v>
      </c>
      <c r="G248" s="5">
        <v>0</v>
      </c>
      <c r="H248" s="5">
        <v>-1450</v>
      </c>
      <c r="I248" s="5">
        <v>0</v>
      </c>
      <c r="J248" s="5">
        <v>0</v>
      </c>
      <c r="K248" s="5">
        <v>0</v>
      </c>
      <c r="L248" s="3">
        <v>-1450</v>
      </c>
    </row>
    <row r="249" spans="1:12" hidden="1" x14ac:dyDescent="0.25">
      <c r="A249" s="5" t="s">
        <v>285</v>
      </c>
      <c r="B249" s="5" t="s">
        <v>46</v>
      </c>
      <c r="C249" s="5" t="s">
        <v>37</v>
      </c>
      <c r="D249" s="6" t="s">
        <v>38</v>
      </c>
      <c r="E249" s="5" t="s">
        <v>48</v>
      </c>
      <c r="F249" s="5">
        <v>0</v>
      </c>
      <c r="G249" s="5">
        <v>-956</v>
      </c>
      <c r="H249" s="5">
        <v>0</v>
      </c>
      <c r="I249" s="5">
        <v>-533.5</v>
      </c>
      <c r="J249" s="5">
        <v>0</v>
      </c>
      <c r="K249" s="5">
        <v>0</v>
      </c>
      <c r="L249" s="3">
        <v>-1489.5</v>
      </c>
    </row>
    <row r="250" spans="1:12" hidden="1" x14ac:dyDescent="0.25">
      <c r="A250" s="5" t="s">
        <v>286</v>
      </c>
      <c r="B250" s="5" t="s">
        <v>46</v>
      </c>
      <c r="C250" s="5" t="s">
        <v>37</v>
      </c>
      <c r="D250" s="6" t="s">
        <v>38</v>
      </c>
      <c r="E250" s="5" t="s">
        <v>51</v>
      </c>
      <c r="F250" s="5">
        <v>0</v>
      </c>
      <c r="G250" s="5">
        <v>-570</v>
      </c>
      <c r="H250" s="5">
        <v>-164</v>
      </c>
      <c r="I250" s="5">
        <v>-775</v>
      </c>
      <c r="J250" s="5">
        <v>0</v>
      </c>
      <c r="K250" s="5">
        <v>0</v>
      </c>
      <c r="L250" s="3">
        <v>-1509</v>
      </c>
    </row>
    <row r="251" spans="1:12" hidden="1" x14ac:dyDescent="0.25">
      <c r="A251" s="5" t="s">
        <v>287</v>
      </c>
      <c r="B251" s="5" t="s">
        <v>46</v>
      </c>
      <c r="C251" s="5" t="s">
        <v>37</v>
      </c>
      <c r="D251" s="6" t="s">
        <v>38</v>
      </c>
      <c r="E251" s="5" t="s">
        <v>34</v>
      </c>
      <c r="F251" s="5">
        <v>0</v>
      </c>
      <c r="G251" s="5">
        <v>-1600</v>
      </c>
      <c r="H251" s="5">
        <v>0</v>
      </c>
      <c r="I251" s="5">
        <v>0</v>
      </c>
      <c r="J251" s="5">
        <v>0</v>
      </c>
      <c r="K251" s="5">
        <v>0</v>
      </c>
      <c r="L251" s="3">
        <v>-1600</v>
      </c>
    </row>
    <row r="252" spans="1:12" hidden="1" x14ac:dyDescent="0.25">
      <c r="A252" s="5" t="s">
        <v>288</v>
      </c>
      <c r="B252" s="5" t="s">
        <v>46</v>
      </c>
      <c r="C252" s="5" t="s">
        <v>37</v>
      </c>
      <c r="D252" s="6" t="s">
        <v>38</v>
      </c>
      <c r="E252" s="5" t="s">
        <v>79</v>
      </c>
      <c r="F252" s="5">
        <v>0</v>
      </c>
      <c r="G252" s="5">
        <v>-1720</v>
      </c>
      <c r="H252" s="5">
        <v>0</v>
      </c>
      <c r="I252" s="5">
        <v>0</v>
      </c>
      <c r="J252" s="5">
        <v>0</v>
      </c>
      <c r="K252" s="5">
        <v>0</v>
      </c>
      <c r="L252" s="3">
        <v>-1720</v>
      </c>
    </row>
    <row r="253" spans="1:12" hidden="1" x14ac:dyDescent="0.25">
      <c r="A253" s="5" t="s">
        <v>289</v>
      </c>
      <c r="B253" s="5" t="e">
        <v>#N/A</v>
      </c>
      <c r="C253" s="5" t="e">
        <v>#N/A</v>
      </c>
      <c r="D253" s="6" t="s">
        <v>38</v>
      </c>
      <c r="E253" s="5" t="e">
        <v>#N/A</v>
      </c>
      <c r="F253" s="5">
        <v>0</v>
      </c>
      <c r="G253" s="5">
        <v>-1777.5</v>
      </c>
      <c r="H253" s="5">
        <v>0</v>
      </c>
      <c r="I253" s="5">
        <v>0</v>
      </c>
      <c r="J253" s="5">
        <v>0</v>
      </c>
      <c r="K253" s="5">
        <v>0</v>
      </c>
      <c r="L253" s="3">
        <v>-1777.5</v>
      </c>
    </row>
    <row r="254" spans="1:12" hidden="1" x14ac:dyDescent="0.25">
      <c r="A254" s="5" t="s">
        <v>290</v>
      </c>
      <c r="B254" s="5" t="s">
        <v>46</v>
      </c>
      <c r="C254" s="5" t="s">
        <v>37</v>
      </c>
      <c r="D254" s="6" t="s">
        <v>38</v>
      </c>
      <c r="E254" s="5" t="s">
        <v>79</v>
      </c>
      <c r="F254" s="5">
        <v>0</v>
      </c>
      <c r="G254" s="5">
        <v>-185</v>
      </c>
      <c r="H254" s="5">
        <v>-2314.5</v>
      </c>
      <c r="I254" s="5">
        <v>0</v>
      </c>
      <c r="J254" s="5">
        <v>485</v>
      </c>
      <c r="K254" s="5">
        <v>0</v>
      </c>
      <c r="L254" s="3">
        <v>-2014.5</v>
      </c>
    </row>
    <row r="255" spans="1:12" hidden="1" x14ac:dyDescent="0.25">
      <c r="A255" s="5" t="s">
        <v>291</v>
      </c>
      <c r="B255" s="5" t="s">
        <v>46</v>
      </c>
      <c r="C255" s="5" t="s">
        <v>37</v>
      </c>
      <c r="D255" s="6" t="s">
        <v>38</v>
      </c>
      <c r="E255" s="5" t="s">
        <v>79</v>
      </c>
      <c r="F255" s="5">
        <v>0</v>
      </c>
      <c r="G255" s="5">
        <v>0</v>
      </c>
      <c r="H255" s="5">
        <v>0</v>
      </c>
      <c r="I255" s="5">
        <v>0</v>
      </c>
      <c r="J255" s="5">
        <v>-2574.9899999999998</v>
      </c>
      <c r="K255" s="5">
        <v>0</v>
      </c>
      <c r="L255" s="3">
        <v>-2574.9899999999998</v>
      </c>
    </row>
    <row r="256" spans="1:12" hidden="1" x14ac:dyDescent="0.25">
      <c r="A256" s="5" t="s">
        <v>292</v>
      </c>
      <c r="B256" s="5" t="s">
        <v>46</v>
      </c>
      <c r="C256" s="5" t="s">
        <v>37</v>
      </c>
      <c r="D256" s="6" t="s">
        <v>38</v>
      </c>
      <c r="E256" s="5" t="s">
        <v>79</v>
      </c>
      <c r="F256" s="5">
        <v>0</v>
      </c>
      <c r="G256" s="5">
        <v>-3206</v>
      </c>
      <c r="H256" s="5">
        <v>0</v>
      </c>
      <c r="I256" s="5">
        <v>0</v>
      </c>
      <c r="J256" s="5">
        <v>0</v>
      </c>
      <c r="K256" s="5">
        <v>0</v>
      </c>
      <c r="L256" s="3">
        <v>-3206</v>
      </c>
    </row>
    <row r="257" spans="1:12" hidden="1" x14ac:dyDescent="0.25">
      <c r="A257" s="5" t="s">
        <v>293</v>
      </c>
      <c r="B257" s="5" t="s">
        <v>46</v>
      </c>
      <c r="C257" s="5" t="s">
        <v>37</v>
      </c>
      <c r="D257" s="6" t="s">
        <v>38</v>
      </c>
      <c r="E257" s="5" t="s">
        <v>51</v>
      </c>
      <c r="F257" s="5">
        <v>0</v>
      </c>
      <c r="G257" s="5">
        <v>-955</v>
      </c>
      <c r="H257" s="5">
        <v>-314</v>
      </c>
      <c r="I257" s="5">
        <v>-1950</v>
      </c>
      <c r="J257" s="5">
        <v>0</v>
      </c>
      <c r="K257" s="5">
        <v>0</v>
      </c>
      <c r="L257" s="3">
        <v>-3219</v>
      </c>
    </row>
    <row r="258" spans="1:12" hidden="1" x14ac:dyDescent="0.25">
      <c r="A258" s="5" t="s">
        <v>294</v>
      </c>
      <c r="B258" s="5" t="s">
        <v>46</v>
      </c>
      <c r="C258" s="5" t="s">
        <v>37</v>
      </c>
      <c r="D258" s="6" t="s">
        <v>38</v>
      </c>
      <c r="E258" s="5" t="s">
        <v>34</v>
      </c>
      <c r="F258" s="5">
        <v>0</v>
      </c>
      <c r="G258" s="5">
        <v>0</v>
      </c>
      <c r="H258" s="5">
        <v>30.62</v>
      </c>
      <c r="I258" s="5">
        <v>-3324</v>
      </c>
      <c r="J258" s="5">
        <v>0</v>
      </c>
      <c r="K258" s="5">
        <v>0</v>
      </c>
      <c r="L258" s="3">
        <v>-3293.38</v>
      </c>
    </row>
    <row r="259" spans="1:12" hidden="1" x14ac:dyDescent="0.25">
      <c r="A259" s="5" t="s">
        <v>295</v>
      </c>
      <c r="B259" s="5" t="s">
        <v>46</v>
      </c>
      <c r="C259" s="5" t="s">
        <v>37</v>
      </c>
      <c r="D259" s="6" t="s">
        <v>38</v>
      </c>
      <c r="E259" s="5" t="s">
        <v>51</v>
      </c>
      <c r="F259" s="5">
        <v>0</v>
      </c>
      <c r="G259" s="5">
        <v>-4590</v>
      </c>
      <c r="H259" s="5">
        <v>-2081</v>
      </c>
      <c r="I259" s="5">
        <v>0</v>
      </c>
      <c r="J259" s="5">
        <v>2492.4299999999998</v>
      </c>
      <c r="K259" s="5">
        <v>0</v>
      </c>
      <c r="L259" s="3">
        <v>-4178.57</v>
      </c>
    </row>
    <row r="260" spans="1:12" hidden="1" x14ac:dyDescent="0.25">
      <c r="A260" s="5" t="s">
        <v>296</v>
      </c>
      <c r="B260" s="5" t="s">
        <v>46</v>
      </c>
      <c r="C260" s="5" t="s">
        <v>37</v>
      </c>
      <c r="D260" s="6" t="s">
        <v>38</v>
      </c>
      <c r="E260" s="5" t="s">
        <v>51</v>
      </c>
      <c r="F260" s="5">
        <v>0</v>
      </c>
      <c r="G260" s="5">
        <v>0</v>
      </c>
      <c r="H260" s="5">
        <v>0</v>
      </c>
      <c r="I260" s="5">
        <v>0</v>
      </c>
      <c r="J260" s="5">
        <v>-4410</v>
      </c>
      <c r="K260" s="5">
        <v>0</v>
      </c>
      <c r="L260" s="3">
        <v>-4410</v>
      </c>
    </row>
    <row r="261" spans="1:12" hidden="1" x14ac:dyDescent="0.25">
      <c r="A261" s="5" t="s">
        <v>297</v>
      </c>
      <c r="B261" s="5" t="s">
        <v>46</v>
      </c>
      <c r="C261" s="5" t="s">
        <v>37</v>
      </c>
      <c r="D261" s="6" t="s">
        <v>38</v>
      </c>
      <c r="E261" s="5" t="s">
        <v>127</v>
      </c>
      <c r="F261" s="5">
        <v>0</v>
      </c>
      <c r="G261" s="5">
        <v>0</v>
      </c>
      <c r="H261" s="5">
        <v>-209.5</v>
      </c>
      <c r="I261" s="5">
        <v>-4339.2</v>
      </c>
      <c r="J261" s="5">
        <v>0</v>
      </c>
      <c r="K261" s="5">
        <v>0</v>
      </c>
      <c r="L261" s="3">
        <v>-4548.7</v>
      </c>
    </row>
    <row r="262" spans="1:12" hidden="1" x14ac:dyDescent="0.25">
      <c r="A262" s="5" t="s">
        <v>298</v>
      </c>
      <c r="B262" s="5" t="s">
        <v>46</v>
      </c>
      <c r="C262" s="5" t="s">
        <v>37</v>
      </c>
      <c r="D262" s="6" t="s">
        <v>38</v>
      </c>
      <c r="E262" s="5" t="s">
        <v>79</v>
      </c>
      <c r="F262" s="5">
        <v>0</v>
      </c>
      <c r="G262" s="5">
        <v>0</v>
      </c>
      <c r="H262" s="5">
        <v>-5195</v>
      </c>
      <c r="I262" s="5">
        <v>0</v>
      </c>
      <c r="J262" s="5">
        <v>0</v>
      </c>
      <c r="K262" s="5">
        <v>0</v>
      </c>
      <c r="L262" s="3">
        <v>-5195</v>
      </c>
    </row>
    <row r="263" spans="1:12" hidden="1" x14ac:dyDescent="0.25">
      <c r="A263" s="5" t="s">
        <v>299</v>
      </c>
      <c r="B263" s="5" t="s">
        <v>46</v>
      </c>
      <c r="C263" s="5" t="s">
        <v>37</v>
      </c>
      <c r="D263" s="6" t="s">
        <v>38</v>
      </c>
      <c r="E263" s="5" t="s">
        <v>51</v>
      </c>
      <c r="F263" s="5">
        <v>0</v>
      </c>
      <c r="G263" s="5">
        <v>-5820</v>
      </c>
      <c r="H263" s="5">
        <v>0</v>
      </c>
      <c r="I263" s="5">
        <v>0</v>
      </c>
      <c r="J263" s="5">
        <v>0</v>
      </c>
      <c r="K263" s="5">
        <v>0</v>
      </c>
      <c r="L263" s="3">
        <v>-5820</v>
      </c>
    </row>
    <row r="264" spans="1:12" hidden="1" x14ac:dyDescent="0.25">
      <c r="A264" s="5" t="s">
        <v>300</v>
      </c>
      <c r="B264" s="5" t="s">
        <v>46</v>
      </c>
      <c r="C264" s="5" t="s">
        <v>37</v>
      </c>
      <c r="D264" s="6" t="s">
        <v>38</v>
      </c>
      <c r="E264" s="5" t="s">
        <v>34</v>
      </c>
      <c r="F264" s="5">
        <v>0</v>
      </c>
      <c r="G264" s="5">
        <v>-8856</v>
      </c>
      <c r="H264" s="5">
        <v>0</v>
      </c>
      <c r="I264" s="5">
        <v>0</v>
      </c>
      <c r="J264" s="5">
        <v>0</v>
      </c>
      <c r="K264" s="5">
        <v>0</v>
      </c>
      <c r="L264" s="3">
        <v>-8856</v>
      </c>
    </row>
    <row r="265" spans="1:12" hidden="1" x14ac:dyDescent="0.25">
      <c r="A265" s="5" t="s">
        <v>301</v>
      </c>
      <c r="B265" s="5" t="s">
        <v>17</v>
      </c>
      <c r="C265" s="5" t="s">
        <v>18</v>
      </c>
      <c r="D265" s="6" t="s">
        <v>19</v>
      </c>
      <c r="E265" s="5" t="s">
        <v>15</v>
      </c>
      <c r="F265" s="5">
        <v>0</v>
      </c>
      <c r="G265" s="5">
        <v>-20281.689999999999</v>
      </c>
      <c r="H265" s="5">
        <v>0</v>
      </c>
      <c r="I265" s="5">
        <v>0</v>
      </c>
      <c r="J265" s="5">
        <v>0</v>
      </c>
      <c r="K265" s="5">
        <v>0</v>
      </c>
      <c r="L265" s="3">
        <v>-20281.689999999999</v>
      </c>
    </row>
    <row r="266" spans="1:12" hidden="1" x14ac:dyDescent="0.25">
      <c r="A266" s="5" t="s">
        <v>302</v>
      </c>
      <c r="B266" s="5" t="s">
        <v>46</v>
      </c>
      <c r="C266" s="5" t="s">
        <v>37</v>
      </c>
      <c r="D266" s="6" t="s">
        <v>38</v>
      </c>
      <c r="E266" s="5" t="s">
        <v>34</v>
      </c>
      <c r="F266" s="5">
        <v>0</v>
      </c>
      <c r="G266" s="5">
        <v>0</v>
      </c>
      <c r="H266" s="5">
        <v>-20677.38</v>
      </c>
      <c r="I266" s="5">
        <v>-159.66999999999999</v>
      </c>
      <c r="J266" s="5">
        <v>0</v>
      </c>
      <c r="K266" s="5">
        <v>0</v>
      </c>
      <c r="L266" s="3">
        <v>-20837.05</v>
      </c>
    </row>
    <row r="267" spans="1:12" hidden="1" x14ac:dyDescent="0.25">
      <c r="A267" s="5" t="s">
        <v>303</v>
      </c>
      <c r="B267" s="5" t="s">
        <v>17</v>
      </c>
      <c r="C267" s="5" t="s">
        <v>37</v>
      </c>
      <c r="D267" s="6" t="s">
        <v>38</v>
      </c>
      <c r="E267" s="5" t="s">
        <v>15</v>
      </c>
      <c r="F267" s="5">
        <v>0</v>
      </c>
      <c r="G267" s="5">
        <v>76784.399999999994</v>
      </c>
      <c r="H267" s="5">
        <v>-1.6</v>
      </c>
      <c r="I267" s="5">
        <v>-109692</v>
      </c>
      <c r="J267" s="5">
        <v>0</v>
      </c>
      <c r="K267" s="5">
        <v>0</v>
      </c>
      <c r="L267" s="3">
        <v>-32909.199999999997</v>
      </c>
    </row>
    <row r="268" spans="1:12" hidden="1" x14ac:dyDescent="0.25">
      <c r="A268" s="5" t="s">
        <v>304</v>
      </c>
      <c r="B268" s="5" t="s">
        <v>46</v>
      </c>
      <c r="C268" s="5" t="s">
        <v>18</v>
      </c>
      <c r="D268" s="6" t="s">
        <v>305</v>
      </c>
      <c r="E268" s="5" t="s">
        <v>51</v>
      </c>
      <c r="F268" s="5">
        <v>0</v>
      </c>
      <c r="G268" s="5">
        <v>-45660</v>
      </c>
      <c r="H268" s="5">
        <v>-150</v>
      </c>
      <c r="I268" s="5">
        <v>0</v>
      </c>
      <c r="J268" s="5">
        <v>0</v>
      </c>
      <c r="K268" s="5">
        <v>0</v>
      </c>
      <c r="L268" s="3">
        <v>-45810</v>
      </c>
    </row>
    <row r="269" spans="1:12" hidden="1" x14ac:dyDescent="0.25">
      <c r="A269" s="5" t="s">
        <v>306</v>
      </c>
      <c r="B269" s="5" t="s">
        <v>17</v>
      </c>
      <c r="C269" s="5" t="s">
        <v>14</v>
      </c>
      <c r="D269" s="6">
        <v>0</v>
      </c>
      <c r="E269" s="5" t="s">
        <v>15</v>
      </c>
      <c r="F269" s="5">
        <v>0</v>
      </c>
      <c r="G269" s="5">
        <v>-137500</v>
      </c>
      <c r="H269" s="5">
        <v>-65479</v>
      </c>
      <c r="I269" s="5">
        <v>0</v>
      </c>
      <c r="J269" s="5">
        <v>0</v>
      </c>
      <c r="K269" s="5">
        <v>0</v>
      </c>
      <c r="L269" s="3">
        <v>-202979</v>
      </c>
    </row>
    <row r="270" spans="1:12" hidden="1" x14ac:dyDescent="0.25">
      <c r="A270" s="5" t="s">
        <v>307</v>
      </c>
      <c r="B270" s="5" t="s">
        <v>17</v>
      </c>
      <c r="C270" s="5" t="s">
        <v>18</v>
      </c>
      <c r="D270" s="6" t="s">
        <v>19</v>
      </c>
      <c r="E270" s="5" t="s">
        <v>15</v>
      </c>
      <c r="F270" s="5">
        <v>0</v>
      </c>
      <c r="G270" s="5">
        <v>-133051</v>
      </c>
      <c r="H270" s="5">
        <v>-0.75</v>
      </c>
      <c r="I270" s="5">
        <v>-73998</v>
      </c>
      <c r="J270" s="5">
        <v>0</v>
      </c>
      <c r="K270" s="5">
        <v>0</v>
      </c>
      <c r="L270" s="3">
        <v>-207049.75</v>
      </c>
    </row>
  </sheetData>
  <autoFilter ref="A4:L270" xr:uid="{00000000-0001-0000-0000-000000000000}">
    <filterColumn colId="10">
      <filters>
        <filter val="1,242.00"/>
        <filter val="1,369,387.17"/>
        <filter val="1,478,936.96"/>
        <filter val="12,600.00"/>
        <filter val="161,595.95"/>
        <filter val="248,874.02"/>
        <filter val="28,241.84"/>
        <filter val="50,000.00"/>
        <filter val="515,589.97"/>
        <filter val="55,000.00"/>
        <filter val="64,142.23"/>
        <filter val="9,288.80"/>
        <filter val="9,356.17"/>
      </filters>
    </filterColumn>
    <sortState xmlns:xlrd2="http://schemas.microsoft.com/office/spreadsheetml/2017/richdata2" ref="A6:L270">
      <sortCondition descending="1" ref="L4:L231"/>
    </sortState>
  </autoFilter>
  <mergeCells count="6">
    <mergeCell ref="A1:L1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DEEF-0677-4CF0-8DA9-5779B7991377}">
  <dimension ref="A1:L257"/>
  <sheetViews>
    <sheetView rightToLeft="1" workbookViewId="0">
      <selection activeCell="I8" sqref="I8"/>
    </sheetView>
  </sheetViews>
  <sheetFormatPr defaultRowHeight="15" x14ac:dyDescent="0.25"/>
  <cols>
    <col min="1" max="1" width="32.140625" style="4" customWidth="1"/>
    <col min="2" max="2" width="9.42578125" style="7" customWidth="1"/>
    <col min="3" max="4" width="13.140625" style="7" customWidth="1"/>
    <col min="5" max="5" width="15.5703125" style="7" customWidth="1"/>
    <col min="6" max="6" width="15.85546875" style="7" customWidth="1"/>
    <col min="7" max="7" width="14.7109375" style="7" customWidth="1"/>
    <col min="8" max="8" width="13.85546875" style="7" customWidth="1"/>
    <col min="9" max="9" width="13.7109375" style="7" customWidth="1"/>
    <col min="10" max="10" width="14.28515625" style="7" bestFit="1" customWidth="1"/>
    <col min="11" max="11" width="14.140625" style="7" customWidth="1"/>
    <col min="12" max="12" width="16.85546875" style="7" customWidth="1"/>
    <col min="13" max="16384" width="9.140625" style="1"/>
  </cols>
  <sheetData>
    <row r="1" spans="1:12" ht="26.25" customHeight="1" thickBot="1" x14ac:dyDescent="0.25">
      <c r="A1" s="11" t="s">
        <v>308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3" spans="1:12" ht="15.75" customHeight="1" x14ac:dyDescent="0.25">
      <c r="A3" s="14" t="s">
        <v>1</v>
      </c>
      <c r="B3" s="15" t="s">
        <v>2</v>
      </c>
      <c r="C3" s="17" t="s">
        <v>3</v>
      </c>
      <c r="D3" s="17" t="s">
        <v>4</v>
      </c>
      <c r="E3" s="15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s="4" customFormat="1" x14ac:dyDescent="0.25">
      <c r="A4" s="14"/>
      <c r="B4" s="16"/>
      <c r="C4" s="18"/>
      <c r="D4" s="18"/>
      <c r="E4" s="16"/>
      <c r="F4" s="3">
        <f t="shared" ref="F4:L4" si="0">SUBTOTAL(9,F5:F257)</f>
        <v>23314907.350000001</v>
      </c>
      <c r="G4" s="3">
        <f t="shared" si="0"/>
        <v>18962081.45000001</v>
      </c>
      <c r="H4" s="3">
        <f t="shared" si="0"/>
        <v>7619991.8800000018</v>
      </c>
      <c r="I4" s="3">
        <f t="shared" si="0"/>
        <v>-854074.64999999991</v>
      </c>
      <c r="J4" s="3">
        <f t="shared" si="0"/>
        <v>8834090.8599999975</v>
      </c>
      <c r="K4" s="3">
        <f t="shared" si="0"/>
        <v>3994898.9399999995</v>
      </c>
      <c r="L4" s="3">
        <f t="shared" si="0"/>
        <v>61871895.829999991</v>
      </c>
    </row>
    <row r="5" spans="1:12" x14ac:dyDescent="0.25">
      <c r="A5" s="5" t="s">
        <v>13</v>
      </c>
      <c r="B5" s="5">
        <v>0</v>
      </c>
      <c r="C5" s="5" t="s">
        <v>14</v>
      </c>
      <c r="D5" s="6">
        <v>0</v>
      </c>
      <c r="E5" s="5" t="s">
        <v>15</v>
      </c>
      <c r="F5" s="5">
        <v>0</v>
      </c>
      <c r="G5" s="5">
        <v>5288126</v>
      </c>
      <c r="H5" s="5">
        <v>3877405.18</v>
      </c>
      <c r="I5" s="5">
        <v>0</v>
      </c>
      <c r="J5" s="5">
        <v>886378.79</v>
      </c>
      <c r="K5" s="5">
        <v>0</v>
      </c>
      <c r="L5" s="3">
        <v>10051909.970000001</v>
      </c>
    </row>
    <row r="6" spans="1:12" x14ac:dyDescent="0.25">
      <c r="A6" s="5" t="s">
        <v>16</v>
      </c>
      <c r="B6" s="5" t="s">
        <v>17</v>
      </c>
      <c r="C6" s="5" t="s">
        <v>18</v>
      </c>
      <c r="D6" s="6" t="s">
        <v>19</v>
      </c>
      <c r="E6" s="5" t="s">
        <v>15</v>
      </c>
      <c r="F6" s="5">
        <v>2300096.04</v>
      </c>
      <c r="G6" s="5">
        <v>680123.89</v>
      </c>
      <c r="H6" s="5">
        <v>246187.5</v>
      </c>
      <c r="I6" s="5">
        <v>0</v>
      </c>
      <c r="J6" s="5">
        <v>190187.66</v>
      </c>
      <c r="K6" s="5">
        <v>0</v>
      </c>
      <c r="L6" s="3">
        <v>3416595.09</v>
      </c>
    </row>
    <row r="7" spans="1:12" x14ac:dyDescent="0.25">
      <c r="A7" s="5" t="s">
        <v>24</v>
      </c>
      <c r="B7" s="5" t="s">
        <v>17</v>
      </c>
      <c r="C7" s="5" t="s">
        <v>18</v>
      </c>
      <c r="D7" s="6" t="s">
        <v>21</v>
      </c>
      <c r="E7" s="5" t="s">
        <v>15</v>
      </c>
      <c r="F7" s="5">
        <v>1225775</v>
      </c>
      <c r="G7" s="5">
        <v>352005</v>
      </c>
      <c r="H7" s="5">
        <v>832327.44</v>
      </c>
      <c r="I7" s="5">
        <v>210000</v>
      </c>
      <c r="J7" s="5">
        <v>0</v>
      </c>
      <c r="K7" s="5">
        <v>0</v>
      </c>
      <c r="L7" s="3">
        <v>2620107.44</v>
      </c>
    </row>
    <row r="8" spans="1:12" x14ac:dyDescent="0.25">
      <c r="A8" s="5" t="s">
        <v>30</v>
      </c>
      <c r="B8" s="5" t="s">
        <v>17</v>
      </c>
      <c r="C8" s="5" t="s">
        <v>18</v>
      </c>
      <c r="D8" s="6" t="s">
        <v>31</v>
      </c>
      <c r="E8" s="5" t="s">
        <v>15</v>
      </c>
      <c r="F8" s="5">
        <v>1752877.4</v>
      </c>
      <c r="G8" s="5">
        <v>545887.41</v>
      </c>
      <c r="H8" s="5">
        <v>0</v>
      </c>
      <c r="I8" s="5">
        <v>0</v>
      </c>
      <c r="J8" s="5">
        <v>154204.10999999999</v>
      </c>
      <c r="K8" s="5">
        <v>0</v>
      </c>
      <c r="L8" s="3">
        <v>2452968.92</v>
      </c>
    </row>
    <row r="9" spans="1:12" x14ac:dyDescent="0.25">
      <c r="A9" s="5" t="s">
        <v>20</v>
      </c>
      <c r="B9" s="5" t="s">
        <v>17</v>
      </c>
      <c r="C9" s="5" t="s">
        <v>18</v>
      </c>
      <c r="D9" s="6" t="s">
        <v>21</v>
      </c>
      <c r="E9" s="5" t="s">
        <v>15</v>
      </c>
      <c r="F9" s="5">
        <v>1286784.6399999999</v>
      </c>
      <c r="G9" s="5">
        <v>218751.05</v>
      </c>
      <c r="H9" s="5">
        <v>0</v>
      </c>
      <c r="I9" s="5">
        <v>0</v>
      </c>
      <c r="J9" s="5">
        <v>927344.29</v>
      </c>
      <c r="K9" s="5">
        <v>0</v>
      </c>
      <c r="L9" s="3">
        <v>2432879.98</v>
      </c>
    </row>
    <row r="10" spans="1:12" x14ac:dyDescent="0.25">
      <c r="A10" s="5" t="s">
        <v>22</v>
      </c>
      <c r="B10" s="5" t="s">
        <v>17</v>
      </c>
      <c r="C10" s="5" t="s">
        <v>18</v>
      </c>
      <c r="D10" s="6" t="s">
        <v>23</v>
      </c>
      <c r="E10" s="5" t="s">
        <v>15</v>
      </c>
      <c r="F10" s="5">
        <v>1324932.4099999999</v>
      </c>
      <c r="G10" s="5">
        <v>485100.6</v>
      </c>
      <c r="H10" s="5">
        <v>17913</v>
      </c>
      <c r="I10" s="5">
        <v>0</v>
      </c>
      <c r="J10" s="5">
        <v>582364.27</v>
      </c>
      <c r="K10" s="5">
        <v>0</v>
      </c>
      <c r="L10" s="3">
        <v>2410310.2799999998</v>
      </c>
    </row>
    <row r="11" spans="1:12" x14ac:dyDescent="0.25">
      <c r="A11" s="5" t="s">
        <v>25</v>
      </c>
      <c r="B11" s="5" t="s">
        <v>17</v>
      </c>
      <c r="C11" s="5" t="s">
        <v>18</v>
      </c>
      <c r="D11" s="6" t="s">
        <v>19</v>
      </c>
      <c r="E11" s="5" t="s">
        <v>15</v>
      </c>
      <c r="F11" s="5">
        <v>2181891</v>
      </c>
      <c r="G11" s="5">
        <v>0</v>
      </c>
      <c r="H11" s="5">
        <v>0</v>
      </c>
      <c r="I11" s="5">
        <v>0</v>
      </c>
      <c r="J11" s="5">
        <v>46254.23</v>
      </c>
      <c r="K11" s="5">
        <v>0</v>
      </c>
      <c r="L11" s="3">
        <v>2228145.23</v>
      </c>
    </row>
    <row r="12" spans="1:12" x14ac:dyDescent="0.25">
      <c r="A12" s="5" t="s">
        <v>26</v>
      </c>
      <c r="B12" s="5" t="s">
        <v>17</v>
      </c>
      <c r="C12" s="5" t="s">
        <v>18</v>
      </c>
      <c r="D12" s="6" t="s">
        <v>21</v>
      </c>
      <c r="E12" s="5" t="s">
        <v>15</v>
      </c>
      <c r="F12" s="5">
        <v>2131901.2400000002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3">
        <v>2131901.2400000002</v>
      </c>
    </row>
    <row r="13" spans="1:12" x14ac:dyDescent="0.25">
      <c r="A13" s="5" t="s">
        <v>27</v>
      </c>
      <c r="B13" s="5" t="s">
        <v>17</v>
      </c>
      <c r="C13" s="5" t="s">
        <v>18</v>
      </c>
      <c r="D13" s="6" t="s">
        <v>21</v>
      </c>
      <c r="E13" s="5" t="s">
        <v>15</v>
      </c>
      <c r="F13" s="5">
        <v>1293044</v>
      </c>
      <c r="G13" s="5">
        <v>769850.28</v>
      </c>
      <c r="H13" s="5">
        <v>0</v>
      </c>
      <c r="I13" s="5">
        <v>0</v>
      </c>
      <c r="J13" s="5">
        <v>0</v>
      </c>
      <c r="K13" s="5">
        <v>0</v>
      </c>
      <c r="L13" s="3">
        <v>2062894.28</v>
      </c>
    </row>
    <row r="14" spans="1:12" x14ac:dyDescent="0.25">
      <c r="A14" s="5" t="s">
        <v>28</v>
      </c>
      <c r="B14" s="5" t="s">
        <v>17</v>
      </c>
      <c r="C14" s="5" t="s">
        <v>18</v>
      </c>
      <c r="D14" s="6" t="s">
        <v>29</v>
      </c>
      <c r="E14" s="5" t="s">
        <v>15</v>
      </c>
      <c r="F14" s="5">
        <v>0</v>
      </c>
      <c r="G14" s="5">
        <v>2004570.77</v>
      </c>
      <c r="H14" s="5">
        <v>0</v>
      </c>
      <c r="I14" s="5">
        <v>22223.47</v>
      </c>
      <c r="J14" s="5">
        <v>0</v>
      </c>
      <c r="K14" s="5">
        <v>0</v>
      </c>
      <c r="L14" s="3">
        <v>2026794.24</v>
      </c>
    </row>
    <row r="15" spans="1:12" x14ac:dyDescent="0.25">
      <c r="A15" s="5" t="s">
        <v>32</v>
      </c>
      <c r="B15" s="5" t="s">
        <v>17</v>
      </c>
      <c r="C15" s="5" t="s">
        <v>33</v>
      </c>
      <c r="D15" s="6">
        <v>0</v>
      </c>
      <c r="E15" s="5" t="s">
        <v>34</v>
      </c>
      <c r="F15" s="5">
        <v>0</v>
      </c>
      <c r="G15" s="5">
        <v>0</v>
      </c>
      <c r="H15" s="5">
        <v>0</v>
      </c>
      <c r="I15" s="5">
        <v>0</v>
      </c>
      <c r="K15" s="5">
        <v>1478936.96</v>
      </c>
      <c r="L15" s="3">
        <v>1478936.96</v>
      </c>
    </row>
    <row r="16" spans="1:12" x14ac:dyDescent="0.25">
      <c r="A16" s="5" t="s">
        <v>35</v>
      </c>
      <c r="B16" s="5" t="s">
        <v>17</v>
      </c>
      <c r="C16" s="5" t="s">
        <v>18</v>
      </c>
      <c r="D16" s="6" t="s">
        <v>19</v>
      </c>
      <c r="E16" s="5" t="s">
        <v>15</v>
      </c>
      <c r="F16" s="5">
        <v>0</v>
      </c>
      <c r="G16" s="5">
        <v>39366</v>
      </c>
      <c r="H16" s="5">
        <v>12000</v>
      </c>
      <c r="I16" s="5">
        <v>0</v>
      </c>
      <c r="J16" s="5"/>
      <c r="K16" s="5">
        <v>1369387.17</v>
      </c>
      <c r="L16" s="3">
        <v>1420753.17</v>
      </c>
    </row>
    <row r="17" spans="1:12" x14ac:dyDescent="0.25">
      <c r="A17" s="5" t="s">
        <v>322</v>
      </c>
      <c r="B17" s="5" t="s">
        <v>17</v>
      </c>
      <c r="C17" s="5"/>
      <c r="D17" s="6"/>
      <c r="E17" s="5"/>
      <c r="F17" s="5">
        <v>0</v>
      </c>
      <c r="G17" s="5">
        <v>1293071.25</v>
      </c>
      <c r="H17" s="5">
        <v>0</v>
      </c>
      <c r="I17" s="5">
        <v>0</v>
      </c>
      <c r="J17" s="5">
        <v>0</v>
      </c>
      <c r="K17" s="5">
        <v>0</v>
      </c>
      <c r="L17" s="3">
        <v>1293071.25</v>
      </c>
    </row>
    <row r="18" spans="1:12" x14ac:dyDescent="0.25">
      <c r="A18" s="5" t="s">
        <v>43</v>
      </c>
      <c r="B18" s="5" t="s">
        <v>17</v>
      </c>
      <c r="C18" s="5" t="s">
        <v>18</v>
      </c>
      <c r="D18" s="6" t="s">
        <v>19</v>
      </c>
      <c r="E18" s="5" t="s">
        <v>15</v>
      </c>
      <c r="F18" s="5">
        <v>793900</v>
      </c>
      <c r="G18" s="5">
        <v>45351</v>
      </c>
      <c r="H18" s="5">
        <v>117104.29</v>
      </c>
      <c r="I18" s="5">
        <v>50018.22</v>
      </c>
      <c r="J18" s="5">
        <v>0</v>
      </c>
      <c r="K18" s="5">
        <v>0</v>
      </c>
      <c r="L18" s="3">
        <v>1006373.51</v>
      </c>
    </row>
    <row r="19" spans="1:12" x14ac:dyDescent="0.25">
      <c r="A19" s="5" t="s">
        <v>52</v>
      </c>
      <c r="B19" s="5" t="s">
        <v>17</v>
      </c>
      <c r="C19" s="5" t="s">
        <v>18</v>
      </c>
      <c r="D19" s="6" t="s">
        <v>19</v>
      </c>
      <c r="E19" s="5" t="s">
        <v>15</v>
      </c>
      <c r="F19" s="5">
        <v>943754.72</v>
      </c>
      <c r="G19" s="5">
        <v>61140.79</v>
      </c>
      <c r="H19" s="5">
        <v>0</v>
      </c>
      <c r="I19" s="5">
        <v>2.15</v>
      </c>
      <c r="J19" s="5">
        <v>19.95</v>
      </c>
      <c r="K19" s="5">
        <v>0</v>
      </c>
      <c r="L19" s="3">
        <v>1004917.61</v>
      </c>
    </row>
    <row r="20" spans="1:12" x14ac:dyDescent="0.25">
      <c r="A20" s="5" t="s">
        <v>44</v>
      </c>
      <c r="B20" s="5" t="s">
        <v>17</v>
      </c>
      <c r="C20" s="5" t="s">
        <v>18</v>
      </c>
      <c r="D20" s="6" t="s">
        <v>31</v>
      </c>
      <c r="E20" s="5" t="s">
        <v>15</v>
      </c>
      <c r="F20" s="5">
        <v>108057.25</v>
      </c>
      <c r="G20" s="5">
        <v>134100</v>
      </c>
      <c r="H20" s="5">
        <v>320187.3</v>
      </c>
      <c r="I20" s="5">
        <v>0</v>
      </c>
      <c r="J20" s="5">
        <v>416516.24</v>
      </c>
      <c r="K20" s="5">
        <v>0</v>
      </c>
      <c r="L20" s="3">
        <v>978860.79</v>
      </c>
    </row>
    <row r="21" spans="1:12" x14ac:dyDescent="0.25">
      <c r="A21" s="5" t="s">
        <v>45</v>
      </c>
      <c r="B21" s="5" t="s">
        <v>46</v>
      </c>
      <c r="C21" s="5" t="s">
        <v>18</v>
      </c>
      <c r="D21" s="6" t="s">
        <v>47</v>
      </c>
      <c r="E21" s="5" t="s">
        <v>48</v>
      </c>
      <c r="F21" s="5">
        <v>587244.72</v>
      </c>
      <c r="G21" s="5">
        <v>374800.61</v>
      </c>
      <c r="H21" s="5">
        <v>-1.1100000000000001</v>
      </c>
      <c r="I21" s="5">
        <v>0</v>
      </c>
      <c r="J21" s="5">
        <v>0</v>
      </c>
      <c r="K21" s="5">
        <v>0</v>
      </c>
      <c r="L21" s="3">
        <v>962044.22</v>
      </c>
    </row>
    <row r="22" spans="1:12" x14ac:dyDescent="0.25">
      <c r="A22" s="5" t="s">
        <v>49</v>
      </c>
      <c r="B22" s="5" t="s">
        <v>17</v>
      </c>
      <c r="C22" s="5" t="s">
        <v>18</v>
      </c>
      <c r="D22" s="6" t="s">
        <v>19</v>
      </c>
      <c r="E22" s="5" t="s">
        <v>15</v>
      </c>
      <c r="F22" s="5">
        <v>362102</v>
      </c>
      <c r="G22" s="5">
        <v>25244</v>
      </c>
      <c r="H22" s="5">
        <v>557422.66</v>
      </c>
      <c r="I22" s="5">
        <v>0</v>
      </c>
      <c r="J22" s="5">
        <v>200.78</v>
      </c>
      <c r="K22" s="5">
        <v>0</v>
      </c>
      <c r="L22" s="3">
        <v>944969.44000000006</v>
      </c>
    </row>
    <row r="23" spans="1:12" x14ac:dyDescent="0.25">
      <c r="A23" s="5" t="s">
        <v>54</v>
      </c>
      <c r="B23" s="5" t="s">
        <v>17</v>
      </c>
      <c r="C23" s="5" t="s">
        <v>18</v>
      </c>
      <c r="D23" s="6" t="s">
        <v>31</v>
      </c>
      <c r="E23" s="5" t="s">
        <v>15</v>
      </c>
      <c r="F23" s="5">
        <v>367636.5</v>
      </c>
      <c r="G23" s="5">
        <v>526133.5</v>
      </c>
      <c r="H23" s="5">
        <v>40516.949999999997</v>
      </c>
      <c r="I23" s="5">
        <v>0</v>
      </c>
      <c r="J23" s="5">
        <v>0</v>
      </c>
      <c r="K23" s="5">
        <v>0</v>
      </c>
      <c r="L23" s="3">
        <v>934286.95</v>
      </c>
    </row>
    <row r="24" spans="1:12" x14ac:dyDescent="0.25">
      <c r="A24" s="5" t="s">
        <v>50</v>
      </c>
      <c r="B24" s="5" t="s">
        <v>46</v>
      </c>
      <c r="C24" s="5" t="s">
        <v>18</v>
      </c>
      <c r="D24" s="6" t="s">
        <v>21</v>
      </c>
      <c r="E24" s="5" t="s">
        <v>51</v>
      </c>
      <c r="F24" s="5">
        <v>701539.69</v>
      </c>
      <c r="G24" s="5">
        <v>231730</v>
      </c>
      <c r="H24" s="5">
        <v>392.5</v>
      </c>
      <c r="I24" s="5">
        <v>88.6</v>
      </c>
      <c r="J24" s="5">
        <v>0</v>
      </c>
      <c r="K24" s="5">
        <v>0</v>
      </c>
      <c r="L24" s="3">
        <v>933750.78999999992</v>
      </c>
    </row>
    <row r="25" spans="1:12" x14ac:dyDescent="0.25">
      <c r="A25" s="5" t="s">
        <v>53</v>
      </c>
      <c r="B25" s="5" t="s">
        <v>46</v>
      </c>
      <c r="C25" s="5" t="s">
        <v>18</v>
      </c>
      <c r="D25" s="6" t="s">
        <v>31</v>
      </c>
      <c r="E25" s="5" t="s">
        <v>51</v>
      </c>
      <c r="F25" s="5">
        <v>802188.6</v>
      </c>
      <c r="G25" s="5">
        <v>79487.649999999994</v>
      </c>
      <c r="H25" s="5">
        <v>0</v>
      </c>
      <c r="I25" s="5">
        <v>0</v>
      </c>
      <c r="J25" s="5">
        <v>644.66999999999996</v>
      </c>
      <c r="K25" s="5">
        <v>0</v>
      </c>
      <c r="L25" s="3">
        <v>882320.91999999993</v>
      </c>
    </row>
    <row r="26" spans="1:12" x14ac:dyDescent="0.25">
      <c r="A26" s="5" t="s">
        <v>42</v>
      </c>
      <c r="B26" s="5">
        <v>0</v>
      </c>
      <c r="C26" s="5" t="s">
        <v>14</v>
      </c>
      <c r="D26" s="6">
        <v>0</v>
      </c>
      <c r="E26" s="5" t="s">
        <v>41</v>
      </c>
      <c r="F26" s="5">
        <v>58925</v>
      </c>
      <c r="G26" s="5">
        <v>379657.38</v>
      </c>
      <c r="H26" s="5">
        <v>-100000</v>
      </c>
      <c r="I26" s="5">
        <v>256042.3</v>
      </c>
      <c r="J26" s="5">
        <v>275156.59999999998</v>
      </c>
      <c r="K26" s="5">
        <v>0</v>
      </c>
      <c r="L26" s="3">
        <v>869781.28</v>
      </c>
    </row>
    <row r="27" spans="1:12" x14ac:dyDescent="0.25">
      <c r="A27" s="5" t="s">
        <v>55</v>
      </c>
      <c r="B27" s="5" t="s">
        <v>17</v>
      </c>
      <c r="C27" s="5" t="s">
        <v>18</v>
      </c>
      <c r="D27" s="6" t="s">
        <v>19</v>
      </c>
      <c r="E27" s="5" t="s">
        <v>15</v>
      </c>
      <c r="F27" s="5">
        <v>0</v>
      </c>
      <c r="G27" s="5">
        <v>183060</v>
      </c>
      <c r="H27" s="5">
        <v>1950</v>
      </c>
      <c r="I27" s="5">
        <v>0</v>
      </c>
      <c r="J27" s="5">
        <v>652132</v>
      </c>
      <c r="K27" s="5">
        <v>0</v>
      </c>
      <c r="L27" s="3">
        <v>837142</v>
      </c>
    </row>
    <row r="28" spans="1:12" x14ac:dyDescent="0.25">
      <c r="A28" s="5" t="s">
        <v>56</v>
      </c>
      <c r="B28" s="5" t="s">
        <v>17</v>
      </c>
      <c r="C28" s="5" t="s">
        <v>18</v>
      </c>
      <c r="D28" s="6" t="s">
        <v>31</v>
      </c>
      <c r="E28" s="5" t="s">
        <v>15</v>
      </c>
      <c r="F28" s="5">
        <v>218600</v>
      </c>
      <c r="G28" s="5">
        <v>192710</v>
      </c>
      <c r="H28" s="5">
        <v>116237.96</v>
      </c>
      <c r="I28" s="5">
        <v>0</v>
      </c>
      <c r="J28" s="5">
        <v>227050</v>
      </c>
      <c r="K28" s="5">
        <v>0</v>
      </c>
      <c r="L28" s="3">
        <v>754597.96</v>
      </c>
    </row>
    <row r="29" spans="1:12" x14ac:dyDescent="0.25">
      <c r="A29" s="5" t="s">
        <v>57</v>
      </c>
      <c r="B29" s="5" t="s">
        <v>17</v>
      </c>
      <c r="C29" s="5" t="s">
        <v>18</v>
      </c>
      <c r="D29" s="6">
        <v>0</v>
      </c>
      <c r="E29" s="5" t="s">
        <v>15</v>
      </c>
      <c r="F29" s="5">
        <v>0</v>
      </c>
      <c r="G29" s="5">
        <v>404942.6</v>
      </c>
      <c r="H29" s="5">
        <v>279956.75</v>
      </c>
      <c r="I29" s="5">
        <v>0</v>
      </c>
      <c r="J29" s="5">
        <v>0</v>
      </c>
      <c r="K29" s="5">
        <v>0</v>
      </c>
      <c r="L29" s="3">
        <v>684899.35</v>
      </c>
    </row>
    <row r="30" spans="1:12" x14ac:dyDescent="0.25">
      <c r="A30" s="5" t="s">
        <v>59</v>
      </c>
      <c r="B30" s="5" t="s">
        <v>17</v>
      </c>
      <c r="C30" s="5" t="s">
        <v>18</v>
      </c>
      <c r="D30" s="6" t="s">
        <v>31</v>
      </c>
      <c r="E30" s="5" t="s">
        <v>15</v>
      </c>
      <c r="F30" s="5">
        <v>205901.1</v>
      </c>
      <c r="G30" s="5">
        <v>433476</v>
      </c>
      <c r="H30" s="5">
        <v>0</v>
      </c>
      <c r="I30" s="5">
        <v>0</v>
      </c>
      <c r="J30" s="5">
        <v>0</v>
      </c>
      <c r="K30" s="5">
        <v>0</v>
      </c>
      <c r="L30" s="3">
        <v>639377.1</v>
      </c>
    </row>
    <row r="31" spans="1:12" x14ac:dyDescent="0.25">
      <c r="A31" s="5" t="s">
        <v>36</v>
      </c>
      <c r="B31" s="5">
        <v>0</v>
      </c>
      <c r="C31" s="5" t="s">
        <v>37</v>
      </c>
      <c r="D31" s="6" t="s">
        <v>38</v>
      </c>
      <c r="E31" s="5" t="s">
        <v>39</v>
      </c>
      <c r="F31" s="5">
        <v>0</v>
      </c>
      <c r="G31" s="5">
        <v>774942.4</v>
      </c>
      <c r="H31" s="5">
        <v>-160000.6</v>
      </c>
      <c r="I31" s="5">
        <v>0</v>
      </c>
      <c r="J31" s="5">
        <v>0</v>
      </c>
      <c r="K31" s="5">
        <v>0</v>
      </c>
      <c r="L31" s="3">
        <v>614941.80000000005</v>
      </c>
    </row>
    <row r="32" spans="1:12" x14ac:dyDescent="0.25">
      <c r="A32" s="5" t="s">
        <v>64</v>
      </c>
      <c r="B32" s="5" t="s">
        <v>17</v>
      </c>
      <c r="C32" s="5" t="s">
        <v>18</v>
      </c>
      <c r="D32" s="6" t="s">
        <v>21</v>
      </c>
      <c r="E32" s="5" t="s">
        <v>15</v>
      </c>
      <c r="F32" s="5">
        <v>283331.76</v>
      </c>
      <c r="G32" s="5">
        <v>206009.15</v>
      </c>
      <c r="H32" s="5">
        <v>103415.65</v>
      </c>
      <c r="I32" s="5">
        <v>0</v>
      </c>
      <c r="J32" s="5">
        <v>0</v>
      </c>
      <c r="K32" s="5">
        <v>0</v>
      </c>
      <c r="L32" s="3">
        <v>592756.56000000006</v>
      </c>
    </row>
    <row r="33" spans="1:12" x14ac:dyDescent="0.25">
      <c r="A33" s="5" t="s">
        <v>60</v>
      </c>
      <c r="B33" s="5" t="s">
        <v>17</v>
      </c>
      <c r="C33" s="5" t="s">
        <v>18</v>
      </c>
      <c r="D33" s="6" t="s">
        <v>21</v>
      </c>
      <c r="E33" s="5" t="s">
        <v>15</v>
      </c>
      <c r="F33" s="5">
        <v>507299.44</v>
      </c>
      <c r="G33" s="5">
        <v>66995.850000000006</v>
      </c>
      <c r="H33" s="5">
        <v>7855.5</v>
      </c>
      <c r="I33" s="5">
        <v>0</v>
      </c>
      <c r="J33" s="5">
        <v>0</v>
      </c>
      <c r="K33" s="5">
        <v>0</v>
      </c>
      <c r="L33" s="3">
        <v>582150.79</v>
      </c>
    </row>
    <row r="34" spans="1:12" x14ac:dyDescent="0.25">
      <c r="A34" s="5" t="s">
        <v>61</v>
      </c>
      <c r="B34" s="5" t="s">
        <v>17</v>
      </c>
      <c r="C34" s="5" t="s">
        <v>18</v>
      </c>
      <c r="D34" s="6" t="s">
        <v>21</v>
      </c>
      <c r="E34" s="5" t="s">
        <v>15</v>
      </c>
      <c r="F34" s="5">
        <v>0</v>
      </c>
      <c r="G34" s="5">
        <v>0</v>
      </c>
      <c r="H34" s="5">
        <v>0</v>
      </c>
      <c r="I34" s="5">
        <v>317400</v>
      </c>
      <c r="J34" s="5">
        <v>221580.74</v>
      </c>
      <c r="K34" s="5">
        <v>0</v>
      </c>
      <c r="L34" s="3">
        <v>538980.74</v>
      </c>
    </row>
    <row r="35" spans="1:12" x14ac:dyDescent="0.25">
      <c r="A35" s="5" t="s">
        <v>62</v>
      </c>
      <c r="B35" s="5" t="s">
        <v>17</v>
      </c>
      <c r="C35" s="5" t="s">
        <v>33</v>
      </c>
      <c r="D35" s="6">
        <v>0</v>
      </c>
      <c r="E35" s="5" t="s">
        <v>48</v>
      </c>
      <c r="F35" s="5">
        <v>0</v>
      </c>
      <c r="G35" s="5">
        <v>0</v>
      </c>
      <c r="H35" s="5">
        <v>0</v>
      </c>
      <c r="I35" s="5">
        <v>0</v>
      </c>
      <c r="K35" s="5">
        <v>515589.97</v>
      </c>
      <c r="L35" s="3">
        <v>515589.97</v>
      </c>
    </row>
    <row r="36" spans="1:12" x14ac:dyDescent="0.25">
      <c r="A36" s="5" t="s">
        <v>69</v>
      </c>
      <c r="B36" s="5" t="s">
        <v>46</v>
      </c>
      <c r="C36" s="5" t="s">
        <v>18</v>
      </c>
      <c r="D36" s="6" t="s">
        <v>21</v>
      </c>
      <c r="E36" s="5" t="s">
        <v>51</v>
      </c>
      <c r="F36" s="5">
        <v>228000</v>
      </c>
      <c r="G36" s="5">
        <v>-256211.48</v>
      </c>
      <c r="H36" s="5">
        <v>286488.73</v>
      </c>
      <c r="I36" s="5">
        <v>0</v>
      </c>
      <c r="J36" s="5">
        <v>256211.48</v>
      </c>
      <c r="K36" s="5">
        <v>0</v>
      </c>
      <c r="L36" s="3">
        <v>514488.73</v>
      </c>
    </row>
    <row r="37" spans="1:12" x14ac:dyDescent="0.25">
      <c r="A37" s="5" t="s">
        <v>63</v>
      </c>
      <c r="B37" s="5" t="s">
        <v>17</v>
      </c>
      <c r="C37" s="5" t="s">
        <v>14</v>
      </c>
      <c r="D37" s="6" t="s">
        <v>38</v>
      </c>
      <c r="E37" s="5" t="s">
        <v>15</v>
      </c>
      <c r="F37" s="5">
        <v>0</v>
      </c>
      <c r="G37" s="5">
        <v>0</v>
      </c>
      <c r="H37" s="5">
        <v>487719</v>
      </c>
      <c r="I37" s="5">
        <v>-1103289</v>
      </c>
      <c r="J37" s="5">
        <v>1103289</v>
      </c>
      <c r="K37" s="5">
        <v>0</v>
      </c>
      <c r="L37" s="3">
        <v>487719</v>
      </c>
    </row>
    <row r="38" spans="1:12" x14ac:dyDescent="0.25">
      <c r="A38" s="5" t="s">
        <v>65</v>
      </c>
      <c r="B38" s="5" t="s">
        <v>17</v>
      </c>
      <c r="C38" s="5" t="s">
        <v>37</v>
      </c>
      <c r="D38" s="6" t="s">
        <v>38</v>
      </c>
      <c r="E38" s="5" t="s">
        <v>15</v>
      </c>
      <c r="F38" s="5">
        <v>0</v>
      </c>
      <c r="G38" s="5">
        <v>422992.8</v>
      </c>
      <c r="H38" s="5">
        <v>0</v>
      </c>
      <c r="I38" s="5">
        <v>0</v>
      </c>
      <c r="J38" s="5">
        <v>0</v>
      </c>
      <c r="K38" s="5">
        <v>0</v>
      </c>
      <c r="L38" s="3">
        <v>422992.8</v>
      </c>
    </row>
    <row r="39" spans="1:12" x14ac:dyDescent="0.25">
      <c r="A39" s="5" t="s">
        <v>66</v>
      </c>
      <c r="B39" s="5" t="s">
        <v>17</v>
      </c>
      <c r="C39" s="5" t="s">
        <v>18</v>
      </c>
      <c r="D39" s="6" t="s">
        <v>19</v>
      </c>
      <c r="E39" s="5" t="s">
        <v>15</v>
      </c>
      <c r="F39" s="5">
        <v>0</v>
      </c>
      <c r="G39" s="5">
        <v>0</v>
      </c>
      <c r="H39" s="5">
        <v>0</v>
      </c>
      <c r="I39" s="5">
        <v>0</v>
      </c>
      <c r="J39" s="5">
        <v>408176.14</v>
      </c>
      <c r="K39" s="5">
        <v>0</v>
      </c>
      <c r="L39" s="3">
        <v>408176.14</v>
      </c>
    </row>
    <row r="40" spans="1:12" x14ac:dyDescent="0.25">
      <c r="A40" s="5" t="s">
        <v>76</v>
      </c>
      <c r="B40" s="5" t="s">
        <v>17</v>
      </c>
      <c r="C40" s="5" t="s">
        <v>18</v>
      </c>
      <c r="D40" s="6" t="s">
        <v>21</v>
      </c>
      <c r="E40" s="5" t="s">
        <v>15</v>
      </c>
      <c r="F40" s="5">
        <v>322827.49</v>
      </c>
      <c r="G40" s="5">
        <v>47735.61</v>
      </c>
      <c r="H40" s="5">
        <v>0</v>
      </c>
      <c r="I40" s="5">
        <v>0</v>
      </c>
      <c r="J40" s="5">
        <v>0</v>
      </c>
      <c r="K40" s="5">
        <v>0</v>
      </c>
      <c r="L40" s="3">
        <v>370563.1</v>
      </c>
    </row>
    <row r="41" spans="1:12" x14ac:dyDescent="0.25">
      <c r="A41" s="5" t="s">
        <v>58</v>
      </c>
      <c r="B41" s="5" t="s">
        <v>17</v>
      </c>
      <c r="C41" s="5" t="s">
        <v>18</v>
      </c>
      <c r="D41" s="6" t="s">
        <v>19</v>
      </c>
      <c r="E41" s="5" t="s">
        <v>15</v>
      </c>
      <c r="F41" s="5">
        <v>361686.16</v>
      </c>
      <c r="G41" s="5">
        <v>4388.07</v>
      </c>
      <c r="H41" s="5">
        <v>0</v>
      </c>
      <c r="I41" s="5">
        <v>0</v>
      </c>
      <c r="J41" s="5">
        <v>0</v>
      </c>
      <c r="K41" s="5">
        <v>0</v>
      </c>
      <c r="L41" s="3">
        <v>366074.23</v>
      </c>
    </row>
    <row r="42" spans="1:12" x14ac:dyDescent="0.25">
      <c r="A42" s="5" t="s">
        <v>67</v>
      </c>
      <c r="B42" s="5" t="s">
        <v>17</v>
      </c>
      <c r="C42" s="5" t="s">
        <v>14</v>
      </c>
      <c r="D42" s="6" t="s">
        <v>68</v>
      </c>
      <c r="E42" s="5" t="s">
        <v>15</v>
      </c>
      <c r="F42" s="5">
        <v>0</v>
      </c>
      <c r="G42" s="5">
        <v>0</v>
      </c>
      <c r="H42" s="5">
        <v>0</v>
      </c>
      <c r="I42" s="5">
        <v>0</v>
      </c>
      <c r="J42" s="5">
        <v>363946.82</v>
      </c>
      <c r="K42" s="5">
        <v>0</v>
      </c>
      <c r="L42" s="3">
        <v>363946.82</v>
      </c>
    </row>
    <row r="43" spans="1:12" x14ac:dyDescent="0.25">
      <c r="A43" s="5" t="s">
        <v>71</v>
      </c>
      <c r="B43" s="5" t="s">
        <v>17</v>
      </c>
      <c r="C43" s="5" t="s">
        <v>18</v>
      </c>
      <c r="D43" s="6" t="s">
        <v>31</v>
      </c>
      <c r="E43" s="5" t="s">
        <v>15</v>
      </c>
      <c r="F43" s="5">
        <v>0</v>
      </c>
      <c r="G43" s="5">
        <v>248600</v>
      </c>
      <c r="H43" s="5">
        <v>79511.850000000006</v>
      </c>
      <c r="I43" s="5">
        <v>-14366</v>
      </c>
      <c r="J43" s="5">
        <v>34685</v>
      </c>
      <c r="K43" s="5">
        <v>0</v>
      </c>
      <c r="L43" s="3">
        <v>348430.85</v>
      </c>
    </row>
    <row r="44" spans="1:12" x14ac:dyDescent="0.25">
      <c r="A44" s="5" t="s">
        <v>72</v>
      </c>
      <c r="B44" s="5" t="s">
        <v>17</v>
      </c>
      <c r="C44" s="5" t="s">
        <v>18</v>
      </c>
      <c r="D44" s="6" t="s">
        <v>31</v>
      </c>
      <c r="E44" s="5" t="s">
        <v>15</v>
      </c>
      <c r="F44" s="5">
        <v>210000</v>
      </c>
      <c r="G44" s="5">
        <v>132355</v>
      </c>
      <c r="H44" s="5">
        <v>0</v>
      </c>
      <c r="I44" s="5">
        <v>0</v>
      </c>
      <c r="J44" s="5">
        <v>0</v>
      </c>
      <c r="K44" s="5">
        <v>0</v>
      </c>
      <c r="L44" s="3">
        <v>342355</v>
      </c>
    </row>
    <row r="45" spans="1:12" x14ac:dyDescent="0.25">
      <c r="A45" s="5" t="s">
        <v>73</v>
      </c>
      <c r="B45" s="5" t="s">
        <v>17</v>
      </c>
      <c r="C45" s="5" t="s">
        <v>18</v>
      </c>
      <c r="D45" s="6" t="s">
        <v>19</v>
      </c>
      <c r="E45" s="5" t="s">
        <v>15</v>
      </c>
      <c r="F45" s="5">
        <v>143726.75</v>
      </c>
      <c r="G45" s="5">
        <v>27866</v>
      </c>
      <c r="H45" s="5">
        <v>62442.7</v>
      </c>
      <c r="I45" s="5">
        <v>0</v>
      </c>
      <c r="J45" s="5">
        <v>96706.42</v>
      </c>
      <c r="K45" s="5">
        <v>0</v>
      </c>
      <c r="L45" s="3">
        <v>330741.87</v>
      </c>
    </row>
    <row r="46" spans="1:12" x14ac:dyDescent="0.25">
      <c r="A46" s="5" t="s">
        <v>74</v>
      </c>
      <c r="B46" s="5" t="s">
        <v>17</v>
      </c>
      <c r="C46" s="5" t="s">
        <v>18</v>
      </c>
      <c r="D46" s="6" t="s">
        <v>21</v>
      </c>
      <c r="E46" s="5" t="s">
        <v>15</v>
      </c>
      <c r="F46" s="5">
        <v>77152.600000000006</v>
      </c>
      <c r="G46" s="5">
        <v>0</v>
      </c>
      <c r="H46" s="5">
        <v>0</v>
      </c>
      <c r="I46" s="5">
        <v>0</v>
      </c>
      <c r="K46" s="5">
        <v>248874.02</v>
      </c>
      <c r="L46" s="3">
        <v>326026.62</v>
      </c>
    </row>
    <row r="47" spans="1:12" x14ac:dyDescent="0.25">
      <c r="A47" s="5" t="s">
        <v>77</v>
      </c>
      <c r="B47" s="5" t="s">
        <v>17</v>
      </c>
      <c r="C47" s="5" t="s">
        <v>37</v>
      </c>
      <c r="D47" s="6" t="s">
        <v>38</v>
      </c>
      <c r="E47" s="5" t="s">
        <v>15</v>
      </c>
      <c r="F47" s="5">
        <v>0</v>
      </c>
      <c r="G47" s="5">
        <v>320002.57</v>
      </c>
      <c r="H47" s="5">
        <v>0</v>
      </c>
      <c r="I47" s="5">
        <v>0</v>
      </c>
      <c r="J47" s="5">
        <v>8.6300000000000008</v>
      </c>
      <c r="K47" s="5">
        <v>0</v>
      </c>
      <c r="L47" s="3">
        <v>320011.2</v>
      </c>
    </row>
    <row r="48" spans="1:12" x14ac:dyDescent="0.25">
      <c r="A48" s="5" t="s">
        <v>75</v>
      </c>
      <c r="B48" s="5" t="s">
        <v>17</v>
      </c>
      <c r="C48" s="5" t="s">
        <v>18</v>
      </c>
      <c r="D48" s="6" t="s">
        <v>31</v>
      </c>
      <c r="E48" s="5" t="s">
        <v>15</v>
      </c>
      <c r="F48" s="5">
        <v>88463.8</v>
      </c>
      <c r="G48" s="5">
        <v>131283.20000000001</v>
      </c>
      <c r="H48" s="5">
        <v>86182.18</v>
      </c>
      <c r="I48" s="5">
        <v>501.63</v>
      </c>
      <c r="J48" s="5">
        <v>3009.81</v>
      </c>
      <c r="K48" s="5">
        <v>0</v>
      </c>
      <c r="L48" s="3">
        <v>309440.62</v>
      </c>
    </row>
    <row r="49" spans="1:12" x14ac:dyDescent="0.25">
      <c r="A49" s="5" t="s">
        <v>78</v>
      </c>
      <c r="B49" s="5" t="s">
        <v>46</v>
      </c>
      <c r="C49" s="5" t="s">
        <v>18</v>
      </c>
      <c r="D49" s="6" t="s">
        <v>31</v>
      </c>
      <c r="E49" s="5" t="s">
        <v>79</v>
      </c>
      <c r="F49" s="5">
        <v>240000</v>
      </c>
      <c r="G49" s="5">
        <v>24000</v>
      </c>
      <c r="H49" s="5">
        <v>0</v>
      </c>
      <c r="I49" s="5">
        <v>0</v>
      </c>
      <c r="J49" s="5">
        <v>36173.51</v>
      </c>
      <c r="K49" s="5">
        <v>0</v>
      </c>
      <c r="L49" s="3">
        <v>300173.51</v>
      </c>
    </row>
    <row r="50" spans="1:12" x14ac:dyDescent="0.25">
      <c r="A50" s="5" t="s">
        <v>80</v>
      </c>
      <c r="B50" s="5" t="s">
        <v>17</v>
      </c>
      <c r="C50" s="5" t="s">
        <v>18</v>
      </c>
      <c r="D50" s="6" t="s">
        <v>21</v>
      </c>
      <c r="E50" s="5" t="s">
        <v>15</v>
      </c>
      <c r="F50" s="5">
        <v>157394.18</v>
      </c>
      <c r="G50" s="5">
        <v>0</v>
      </c>
      <c r="H50" s="5">
        <v>22032.9</v>
      </c>
      <c r="I50" s="5">
        <v>107008.7</v>
      </c>
      <c r="J50" s="5">
        <v>1.1000000000000001</v>
      </c>
      <c r="K50" s="5">
        <v>0</v>
      </c>
      <c r="L50" s="3">
        <v>286436.88</v>
      </c>
    </row>
    <row r="51" spans="1:12" x14ac:dyDescent="0.25">
      <c r="A51" s="5" t="s">
        <v>81</v>
      </c>
      <c r="B51" s="5" t="s">
        <v>17</v>
      </c>
      <c r="C51" s="5" t="s">
        <v>37</v>
      </c>
      <c r="D51" s="6" t="s">
        <v>38</v>
      </c>
      <c r="E51" s="5" t="s">
        <v>15</v>
      </c>
      <c r="F51" s="5">
        <v>0</v>
      </c>
      <c r="G51" s="5">
        <v>280185.75</v>
      </c>
      <c r="H51" s="5">
        <v>0</v>
      </c>
      <c r="I51" s="5">
        <v>0</v>
      </c>
      <c r="J51" s="5">
        <v>0</v>
      </c>
      <c r="K51" s="5">
        <v>0</v>
      </c>
      <c r="L51" s="3">
        <v>280185.75</v>
      </c>
    </row>
    <row r="52" spans="1:12" x14ac:dyDescent="0.25">
      <c r="A52" s="5" t="s">
        <v>82</v>
      </c>
      <c r="B52" s="5" t="s">
        <v>17</v>
      </c>
      <c r="C52" s="5" t="s">
        <v>33</v>
      </c>
      <c r="D52" s="6">
        <v>0</v>
      </c>
      <c r="E52" s="5" t="s">
        <v>51</v>
      </c>
      <c r="F52" s="5">
        <v>0</v>
      </c>
      <c r="G52" s="5">
        <v>0</v>
      </c>
      <c r="H52" s="5">
        <v>0</v>
      </c>
      <c r="I52" s="5">
        <v>-20000</v>
      </c>
      <c r="J52" s="5">
        <v>277197.93</v>
      </c>
      <c r="K52" s="5">
        <v>0</v>
      </c>
      <c r="L52" s="3">
        <v>257197.93</v>
      </c>
    </row>
    <row r="53" spans="1:12" x14ac:dyDescent="0.25">
      <c r="A53" s="5" t="s">
        <v>83</v>
      </c>
      <c r="B53" s="5" t="s">
        <v>17</v>
      </c>
      <c r="C53" s="5" t="s">
        <v>14</v>
      </c>
      <c r="D53" s="6">
        <v>0</v>
      </c>
      <c r="E53" s="5" t="s">
        <v>15</v>
      </c>
      <c r="F53" s="5">
        <v>172390</v>
      </c>
      <c r="G53" s="5">
        <v>0</v>
      </c>
      <c r="H53" s="5">
        <v>70381.5</v>
      </c>
      <c r="I53" s="5">
        <v>6853.66</v>
      </c>
      <c r="J53" s="5">
        <v>0</v>
      </c>
      <c r="K53" s="5">
        <v>0</v>
      </c>
      <c r="L53" s="3">
        <v>249625.16</v>
      </c>
    </row>
    <row r="54" spans="1:12" x14ac:dyDescent="0.25">
      <c r="A54" s="5" t="s">
        <v>84</v>
      </c>
      <c r="B54" s="5" t="s">
        <v>17</v>
      </c>
      <c r="C54" s="5" t="s">
        <v>37</v>
      </c>
      <c r="D54" s="6" t="s">
        <v>38</v>
      </c>
      <c r="E54" s="5" t="s">
        <v>51</v>
      </c>
      <c r="F54" s="5">
        <v>0</v>
      </c>
      <c r="G54" s="5">
        <v>74827.8</v>
      </c>
      <c r="H54" s="5">
        <v>168337.8</v>
      </c>
      <c r="I54" s="5">
        <v>0</v>
      </c>
      <c r="J54" s="5">
        <v>0</v>
      </c>
      <c r="K54" s="5">
        <v>0</v>
      </c>
      <c r="L54" s="3">
        <v>243165.6</v>
      </c>
    </row>
    <row r="55" spans="1:12" x14ac:dyDescent="0.25">
      <c r="A55" s="5" t="s">
        <v>85</v>
      </c>
      <c r="B55" s="5" t="s">
        <v>46</v>
      </c>
      <c r="C55" s="5" t="s">
        <v>18</v>
      </c>
      <c r="D55" s="6" t="s">
        <v>19</v>
      </c>
      <c r="E55" s="5" t="s">
        <v>51</v>
      </c>
      <c r="F55" s="5">
        <v>104415.12</v>
      </c>
      <c r="G55" s="5">
        <v>99948.75</v>
      </c>
      <c r="H55" s="5">
        <v>0</v>
      </c>
      <c r="I55" s="5">
        <v>0</v>
      </c>
      <c r="J55" s="5">
        <v>32765</v>
      </c>
      <c r="K55" s="5">
        <v>0</v>
      </c>
      <c r="L55" s="3">
        <v>237128.87</v>
      </c>
    </row>
    <row r="56" spans="1:12" x14ac:dyDescent="0.25">
      <c r="A56" s="5" t="s">
        <v>86</v>
      </c>
      <c r="B56" s="5" t="s">
        <v>17</v>
      </c>
      <c r="C56" s="5" t="s">
        <v>18</v>
      </c>
      <c r="D56" s="6" t="s">
        <v>19</v>
      </c>
      <c r="E56" s="5" t="s">
        <v>15</v>
      </c>
      <c r="F56" s="5">
        <v>115849</v>
      </c>
      <c r="G56" s="5">
        <v>0</v>
      </c>
      <c r="H56" s="5">
        <v>71815.47</v>
      </c>
      <c r="I56" s="5">
        <v>21960</v>
      </c>
      <c r="J56" s="5">
        <v>19632.72</v>
      </c>
      <c r="K56" s="5">
        <v>0</v>
      </c>
      <c r="L56" s="3">
        <v>229257.19</v>
      </c>
    </row>
    <row r="57" spans="1:12" x14ac:dyDescent="0.25">
      <c r="A57" s="5" t="s">
        <v>87</v>
      </c>
      <c r="B57" s="5" t="s">
        <v>17</v>
      </c>
      <c r="C57" s="5" t="s">
        <v>18</v>
      </c>
      <c r="D57" s="6" t="s">
        <v>19</v>
      </c>
      <c r="E57" s="5" t="s">
        <v>15</v>
      </c>
      <c r="F57" s="5">
        <v>227168.4</v>
      </c>
      <c r="G57" s="5">
        <v>0</v>
      </c>
      <c r="H57" s="5">
        <v>0</v>
      </c>
      <c r="I57" s="5">
        <v>-113340</v>
      </c>
      <c r="J57" s="5">
        <v>113340</v>
      </c>
      <c r="K57" s="5">
        <v>0</v>
      </c>
      <c r="L57" s="3">
        <v>227168.4</v>
      </c>
    </row>
    <row r="58" spans="1:12" x14ac:dyDescent="0.25">
      <c r="A58" s="5" t="s">
        <v>94</v>
      </c>
      <c r="B58" s="5" t="s">
        <v>17</v>
      </c>
      <c r="C58" s="5" t="s">
        <v>18</v>
      </c>
      <c r="D58" s="6" t="s">
        <v>19</v>
      </c>
      <c r="E58" s="5" t="s">
        <v>15</v>
      </c>
      <c r="F58" s="5">
        <v>187723.45</v>
      </c>
      <c r="G58" s="5">
        <v>0</v>
      </c>
      <c r="H58" s="5">
        <v>0</v>
      </c>
      <c r="I58" s="5">
        <v>0</v>
      </c>
      <c r="J58" s="5">
        <v>1.7</v>
      </c>
      <c r="K58" s="5">
        <v>0</v>
      </c>
      <c r="L58" s="3">
        <v>187725.15</v>
      </c>
    </row>
    <row r="59" spans="1:12" x14ac:dyDescent="0.25">
      <c r="A59" s="5" t="s">
        <v>88</v>
      </c>
      <c r="B59" s="5" t="s">
        <v>17</v>
      </c>
      <c r="C59" s="5" t="s">
        <v>14</v>
      </c>
      <c r="D59" s="6">
        <v>0</v>
      </c>
      <c r="E59" s="5" t="s">
        <v>15</v>
      </c>
      <c r="F59" s="5">
        <v>0</v>
      </c>
      <c r="G59" s="5">
        <v>280</v>
      </c>
      <c r="H59" s="5">
        <v>0</v>
      </c>
      <c r="I59" s="5">
        <v>0</v>
      </c>
      <c r="J59" s="5">
        <v>179336.25</v>
      </c>
      <c r="K59" s="5">
        <v>0</v>
      </c>
      <c r="L59" s="3">
        <v>179616.25</v>
      </c>
    </row>
    <row r="60" spans="1:12" x14ac:dyDescent="0.25">
      <c r="A60" s="5" t="s">
        <v>90</v>
      </c>
      <c r="B60" s="5" t="s">
        <v>17</v>
      </c>
      <c r="C60" s="5" t="s">
        <v>37</v>
      </c>
      <c r="D60" s="6" t="s">
        <v>38</v>
      </c>
      <c r="E60" s="5" t="s">
        <v>15</v>
      </c>
      <c r="F60" s="5">
        <v>0</v>
      </c>
      <c r="G60" s="5">
        <v>170910.17</v>
      </c>
      <c r="H60" s="5">
        <v>91</v>
      </c>
      <c r="I60" s="5">
        <v>-17783</v>
      </c>
      <c r="J60" s="5">
        <v>17783</v>
      </c>
      <c r="K60" s="5">
        <v>0</v>
      </c>
      <c r="L60" s="3">
        <v>171001.17</v>
      </c>
    </row>
    <row r="61" spans="1:12" x14ac:dyDescent="0.25">
      <c r="A61" s="5" t="s">
        <v>93</v>
      </c>
      <c r="B61" s="5" t="s">
        <v>46</v>
      </c>
      <c r="C61" s="5" t="s">
        <v>37</v>
      </c>
      <c r="D61" s="6" t="s">
        <v>38</v>
      </c>
      <c r="E61" s="5" t="s">
        <v>34</v>
      </c>
      <c r="F61" s="5">
        <v>49050</v>
      </c>
      <c r="G61" s="5">
        <v>114662.16</v>
      </c>
      <c r="H61" s="5">
        <v>4480</v>
      </c>
      <c r="I61" s="5">
        <v>0</v>
      </c>
      <c r="J61" s="5">
        <v>989.75</v>
      </c>
      <c r="K61" s="5">
        <v>0</v>
      </c>
      <c r="L61" s="3">
        <v>169181.91</v>
      </c>
    </row>
    <row r="62" spans="1:12" x14ac:dyDescent="0.25">
      <c r="A62" s="5" t="s">
        <v>95</v>
      </c>
      <c r="B62" s="5" t="s">
        <v>17</v>
      </c>
      <c r="C62" s="5" t="s">
        <v>18</v>
      </c>
      <c r="D62" s="6" t="s">
        <v>47</v>
      </c>
      <c r="E62" s="5" t="s">
        <v>15</v>
      </c>
      <c r="F62" s="5">
        <v>162200</v>
      </c>
      <c r="G62" s="5">
        <v>0</v>
      </c>
      <c r="H62" s="5">
        <v>94</v>
      </c>
      <c r="I62" s="5">
        <v>0</v>
      </c>
      <c r="J62" s="5">
        <v>1.4</v>
      </c>
      <c r="K62" s="5">
        <v>0</v>
      </c>
      <c r="L62" s="3">
        <v>162295.4</v>
      </c>
    </row>
    <row r="63" spans="1:12" x14ac:dyDescent="0.25">
      <c r="A63" s="5" t="s">
        <v>96</v>
      </c>
      <c r="B63" s="5" t="s">
        <v>17</v>
      </c>
      <c r="C63" s="5" t="s">
        <v>33</v>
      </c>
      <c r="D63" s="6" t="s">
        <v>31</v>
      </c>
      <c r="E63" s="5" t="s">
        <v>51</v>
      </c>
      <c r="F63" s="5">
        <v>0</v>
      </c>
      <c r="G63" s="5">
        <v>0</v>
      </c>
      <c r="H63" s="5">
        <v>0</v>
      </c>
      <c r="I63" s="5">
        <v>0</v>
      </c>
      <c r="K63" s="5">
        <v>161595.95000000001</v>
      </c>
      <c r="L63" s="3">
        <v>161595.95000000001</v>
      </c>
    </row>
    <row r="64" spans="1:12" x14ac:dyDescent="0.25">
      <c r="A64" s="5" t="s">
        <v>97</v>
      </c>
      <c r="B64" s="5" t="s">
        <v>46</v>
      </c>
      <c r="C64" s="5" t="s">
        <v>18</v>
      </c>
      <c r="D64" s="6" t="s">
        <v>98</v>
      </c>
      <c r="E64" s="5" t="s">
        <v>34</v>
      </c>
      <c r="F64" s="5">
        <v>0</v>
      </c>
      <c r="G64" s="5">
        <v>0</v>
      </c>
      <c r="H64" s="5">
        <v>0</v>
      </c>
      <c r="I64" s="5">
        <v>0</v>
      </c>
      <c r="J64" s="5">
        <v>160893.96</v>
      </c>
      <c r="K64" s="5">
        <v>0</v>
      </c>
      <c r="L64" s="3">
        <v>160893.96</v>
      </c>
    </row>
    <row r="65" spans="1:12" x14ac:dyDescent="0.25">
      <c r="A65" s="5" t="s">
        <v>99</v>
      </c>
      <c r="B65" s="5">
        <v>0</v>
      </c>
      <c r="C65" s="5" t="s">
        <v>18</v>
      </c>
      <c r="D65" s="6" t="s">
        <v>21</v>
      </c>
      <c r="E65" s="5" t="s">
        <v>15</v>
      </c>
      <c r="F65" s="5">
        <v>126787.88</v>
      </c>
      <c r="G65" s="5">
        <v>0</v>
      </c>
      <c r="H65" s="5">
        <v>0</v>
      </c>
      <c r="I65" s="5">
        <v>-75444.539999999994</v>
      </c>
      <c r="J65" s="5">
        <v>108202.53</v>
      </c>
      <c r="K65" s="5">
        <v>0</v>
      </c>
      <c r="L65" s="3">
        <v>159545.87</v>
      </c>
    </row>
    <row r="66" spans="1:12" x14ac:dyDescent="0.25">
      <c r="A66" s="5" t="s">
        <v>100</v>
      </c>
      <c r="B66" s="5" t="s">
        <v>17</v>
      </c>
      <c r="C66" s="5" t="s">
        <v>18</v>
      </c>
      <c r="D66" s="6" t="s">
        <v>31</v>
      </c>
      <c r="E66" s="5" t="s">
        <v>15</v>
      </c>
      <c r="F66" s="5">
        <v>0</v>
      </c>
      <c r="G66" s="5">
        <v>152000</v>
      </c>
      <c r="H66" s="5">
        <v>0</v>
      </c>
      <c r="I66" s="5">
        <v>0</v>
      </c>
      <c r="J66" s="5">
        <v>0</v>
      </c>
      <c r="K66" s="5">
        <v>0</v>
      </c>
      <c r="L66" s="3">
        <v>152000</v>
      </c>
    </row>
    <row r="67" spans="1:12" x14ac:dyDescent="0.25">
      <c r="A67" s="5" t="s">
        <v>101</v>
      </c>
      <c r="B67" s="5" t="s">
        <v>46</v>
      </c>
      <c r="C67" s="5" t="s">
        <v>37</v>
      </c>
      <c r="D67" s="6" t="s">
        <v>38</v>
      </c>
      <c r="E67" s="5" t="s">
        <v>79</v>
      </c>
      <c r="F67" s="5">
        <v>0</v>
      </c>
      <c r="G67" s="5">
        <v>22361.4</v>
      </c>
      <c r="H67" s="5">
        <v>3408.95</v>
      </c>
      <c r="I67" s="5">
        <v>2686.56</v>
      </c>
      <c r="J67" s="5">
        <v>121751.56</v>
      </c>
      <c r="K67" s="5">
        <v>0</v>
      </c>
      <c r="L67" s="3">
        <v>150208.47</v>
      </c>
    </row>
    <row r="68" spans="1:12" x14ac:dyDescent="0.25">
      <c r="A68" s="5" t="s">
        <v>102</v>
      </c>
      <c r="B68" s="5" t="s">
        <v>17</v>
      </c>
      <c r="C68" s="5" t="s">
        <v>18</v>
      </c>
      <c r="D68" s="6" t="s">
        <v>19</v>
      </c>
      <c r="E68" s="5" t="s">
        <v>15</v>
      </c>
      <c r="F68" s="5">
        <v>118768</v>
      </c>
      <c r="G68" s="5">
        <v>0</v>
      </c>
      <c r="H68" s="5">
        <v>0</v>
      </c>
      <c r="I68" s="5">
        <v>0</v>
      </c>
      <c r="J68" s="5">
        <v>30545.9</v>
      </c>
      <c r="K68" s="5">
        <v>0</v>
      </c>
      <c r="L68" s="3">
        <v>149313.9</v>
      </c>
    </row>
    <row r="69" spans="1:12" x14ac:dyDescent="0.25">
      <c r="A69" s="5" t="s">
        <v>70</v>
      </c>
      <c r="B69" s="5" t="s">
        <v>17</v>
      </c>
      <c r="C69" s="5" t="s">
        <v>18</v>
      </c>
      <c r="D69" s="6" t="s">
        <v>21</v>
      </c>
      <c r="E69" s="5" t="s">
        <v>15</v>
      </c>
      <c r="F69" s="5">
        <v>143634.47</v>
      </c>
      <c r="G69" s="5">
        <v>-66238.64</v>
      </c>
      <c r="H69" s="5">
        <v>66240.09</v>
      </c>
      <c r="I69" s="5">
        <v>0</v>
      </c>
      <c r="J69" s="5">
        <v>1945.79</v>
      </c>
      <c r="K69" s="5">
        <v>0</v>
      </c>
      <c r="L69" s="3">
        <v>145581.71</v>
      </c>
    </row>
    <row r="70" spans="1:12" x14ac:dyDescent="0.25">
      <c r="A70" s="5" t="s">
        <v>104</v>
      </c>
      <c r="B70" s="5" t="s">
        <v>17</v>
      </c>
      <c r="C70" s="5" t="s">
        <v>37</v>
      </c>
      <c r="D70" s="6" t="s">
        <v>38</v>
      </c>
      <c r="E70" s="5" t="s">
        <v>15</v>
      </c>
      <c r="F70" s="5">
        <v>0</v>
      </c>
      <c r="G70" s="5">
        <v>0</v>
      </c>
      <c r="H70" s="5">
        <v>0</v>
      </c>
      <c r="I70" s="5">
        <v>0</v>
      </c>
      <c r="J70" s="5">
        <v>118115.35</v>
      </c>
      <c r="K70" s="5">
        <v>0</v>
      </c>
      <c r="L70" s="3">
        <v>118115.35</v>
      </c>
    </row>
    <row r="71" spans="1:12" x14ac:dyDescent="0.25">
      <c r="A71" s="5" t="s">
        <v>105</v>
      </c>
      <c r="B71" s="5" t="s">
        <v>46</v>
      </c>
      <c r="C71" s="5" t="s">
        <v>37</v>
      </c>
      <c r="D71" s="6" t="s">
        <v>38</v>
      </c>
      <c r="E71" s="5" t="s">
        <v>51</v>
      </c>
      <c r="F71" s="5">
        <v>0</v>
      </c>
      <c r="G71" s="5">
        <v>106070</v>
      </c>
      <c r="H71" s="5">
        <v>0</v>
      </c>
      <c r="I71" s="5">
        <v>0</v>
      </c>
      <c r="J71" s="5">
        <v>0</v>
      </c>
      <c r="K71" s="5">
        <v>0</v>
      </c>
      <c r="L71" s="3">
        <v>106070</v>
      </c>
    </row>
    <row r="72" spans="1:12" x14ac:dyDescent="0.25">
      <c r="A72" s="5" t="s">
        <v>106</v>
      </c>
      <c r="B72" s="5" t="s">
        <v>46</v>
      </c>
      <c r="C72" s="5" t="s">
        <v>18</v>
      </c>
      <c r="D72" s="6" t="s">
        <v>19</v>
      </c>
      <c r="E72" s="5" t="s">
        <v>34</v>
      </c>
      <c r="F72" s="5">
        <v>80254.759999999995</v>
      </c>
      <c r="G72" s="5">
        <v>11818.28</v>
      </c>
      <c r="H72" s="5">
        <v>3852.72</v>
      </c>
      <c r="I72" s="5">
        <v>0</v>
      </c>
      <c r="J72" s="5">
        <v>8894.7199999999993</v>
      </c>
      <c r="K72" s="5">
        <v>0</v>
      </c>
      <c r="L72" s="3">
        <v>104820.48</v>
      </c>
    </row>
    <row r="73" spans="1:12" x14ac:dyDescent="0.25">
      <c r="A73" s="5" t="s">
        <v>107</v>
      </c>
      <c r="B73" s="5" t="s">
        <v>46</v>
      </c>
      <c r="C73" s="5" t="s">
        <v>18</v>
      </c>
      <c r="D73" s="6" t="s">
        <v>31</v>
      </c>
      <c r="E73" s="5" t="s">
        <v>51</v>
      </c>
      <c r="F73" s="5">
        <v>51280</v>
      </c>
      <c r="G73" s="5">
        <v>45660</v>
      </c>
      <c r="H73" s="5">
        <v>0</v>
      </c>
      <c r="I73" s="5">
        <v>0</v>
      </c>
      <c r="J73" s="5">
        <v>5019.63</v>
      </c>
      <c r="K73" s="5">
        <v>0</v>
      </c>
      <c r="L73" s="3">
        <v>101959.63</v>
      </c>
    </row>
    <row r="74" spans="1:12" x14ac:dyDescent="0.25">
      <c r="A74" s="5" t="s">
        <v>132</v>
      </c>
      <c r="B74" s="5" t="s">
        <v>17</v>
      </c>
      <c r="C74" s="5" t="s">
        <v>37</v>
      </c>
      <c r="D74" s="6" t="s">
        <v>38</v>
      </c>
      <c r="E74" s="5" t="s">
        <v>15</v>
      </c>
      <c r="F74" s="5">
        <v>93665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3">
        <v>93665</v>
      </c>
    </row>
    <row r="75" spans="1:12" x14ac:dyDescent="0.25">
      <c r="A75" s="5" t="s">
        <v>109</v>
      </c>
      <c r="B75" s="5" t="s">
        <v>17</v>
      </c>
      <c r="C75" s="5" t="s">
        <v>18</v>
      </c>
      <c r="D75" s="6" t="s">
        <v>19</v>
      </c>
      <c r="E75" s="5" t="s">
        <v>15</v>
      </c>
      <c r="F75" s="5">
        <v>0</v>
      </c>
      <c r="G75" s="5">
        <v>0</v>
      </c>
      <c r="H75" s="5">
        <v>0</v>
      </c>
      <c r="I75" s="5">
        <v>0</v>
      </c>
      <c r="J75" s="5">
        <v>90199.4</v>
      </c>
      <c r="K75" s="5">
        <v>0</v>
      </c>
      <c r="L75" s="3">
        <v>90199.4</v>
      </c>
    </row>
    <row r="76" spans="1:12" x14ac:dyDescent="0.25">
      <c r="A76" s="5" t="s">
        <v>111</v>
      </c>
      <c r="B76" s="5" t="s">
        <v>17</v>
      </c>
      <c r="C76" s="5" t="s">
        <v>18</v>
      </c>
      <c r="D76" s="6" t="s">
        <v>21</v>
      </c>
      <c r="E76" s="5" t="s">
        <v>15</v>
      </c>
      <c r="F76" s="5">
        <v>76196.45</v>
      </c>
      <c r="G76" s="5">
        <v>1.25</v>
      </c>
      <c r="H76" s="5">
        <v>0</v>
      </c>
      <c r="I76" s="5">
        <v>0</v>
      </c>
      <c r="J76" s="5">
        <v>12144.61</v>
      </c>
      <c r="K76" s="5">
        <v>0</v>
      </c>
      <c r="L76" s="3">
        <v>88342.31</v>
      </c>
    </row>
    <row r="77" spans="1:12" x14ac:dyDescent="0.25">
      <c r="A77" s="5" t="s">
        <v>113</v>
      </c>
      <c r="B77" s="5" t="s">
        <v>17</v>
      </c>
      <c r="C77" s="5" t="s">
        <v>18</v>
      </c>
      <c r="D77" s="6" t="s">
        <v>21</v>
      </c>
      <c r="E77" s="5" t="s">
        <v>15</v>
      </c>
      <c r="F77" s="5">
        <v>86999.15</v>
      </c>
      <c r="G77" s="5">
        <v>0</v>
      </c>
      <c r="H77" s="5">
        <v>0</v>
      </c>
      <c r="I77" s="5">
        <v>-101025.05</v>
      </c>
      <c r="J77" s="5">
        <v>101025.4</v>
      </c>
      <c r="K77" s="5">
        <v>0</v>
      </c>
      <c r="L77" s="3">
        <v>86999.499999999985</v>
      </c>
    </row>
    <row r="78" spans="1:12" x14ac:dyDescent="0.25">
      <c r="A78" s="5" t="s">
        <v>115</v>
      </c>
      <c r="B78" s="5" t="s">
        <v>17</v>
      </c>
      <c r="C78" s="5" t="s">
        <v>37</v>
      </c>
      <c r="D78" s="6" t="s">
        <v>38</v>
      </c>
      <c r="E78" s="5" t="s">
        <v>15</v>
      </c>
      <c r="F78" s="5">
        <v>0</v>
      </c>
      <c r="G78" s="5">
        <v>84010.44</v>
      </c>
      <c r="H78" s="5">
        <v>2.9</v>
      </c>
      <c r="I78" s="5">
        <v>0</v>
      </c>
      <c r="J78" s="5">
        <v>0</v>
      </c>
      <c r="K78" s="5">
        <v>0</v>
      </c>
      <c r="L78" s="3">
        <v>84013.34</v>
      </c>
    </row>
    <row r="79" spans="1:12" x14ac:dyDescent="0.25">
      <c r="A79" s="5" t="s">
        <v>117</v>
      </c>
      <c r="B79" s="5" t="s">
        <v>17</v>
      </c>
      <c r="C79" s="5" t="s">
        <v>18</v>
      </c>
      <c r="D79" s="6">
        <v>0</v>
      </c>
      <c r="E79" s="5" t="s">
        <v>15</v>
      </c>
      <c r="F79" s="5">
        <v>73900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3">
        <v>73900</v>
      </c>
    </row>
    <row r="80" spans="1:12" x14ac:dyDescent="0.25">
      <c r="A80" s="5" t="s">
        <v>118</v>
      </c>
      <c r="B80" s="5" t="s">
        <v>17</v>
      </c>
      <c r="C80" s="5" t="s">
        <v>37</v>
      </c>
      <c r="D80" s="6" t="s">
        <v>38</v>
      </c>
      <c r="E80" s="5" t="s">
        <v>15</v>
      </c>
      <c r="F80" s="5">
        <v>0</v>
      </c>
      <c r="G80" s="5">
        <v>67725</v>
      </c>
      <c r="H80" s="5">
        <v>1245</v>
      </c>
      <c r="I80" s="5">
        <v>0</v>
      </c>
      <c r="J80" s="5">
        <v>0</v>
      </c>
      <c r="K80" s="5">
        <v>0</v>
      </c>
      <c r="L80" s="3">
        <v>68970</v>
      </c>
    </row>
    <row r="81" spans="1:12" x14ac:dyDescent="0.25">
      <c r="A81" s="5" t="s">
        <v>119</v>
      </c>
      <c r="B81" s="5" t="s">
        <v>17</v>
      </c>
      <c r="C81" s="5" t="s">
        <v>37</v>
      </c>
      <c r="D81" s="6" t="s">
        <v>38</v>
      </c>
      <c r="E81" s="5" t="s">
        <v>15</v>
      </c>
      <c r="F81" s="5">
        <v>0</v>
      </c>
      <c r="G81" s="5">
        <v>67537.850000000006</v>
      </c>
      <c r="H81" s="5">
        <v>0.24</v>
      </c>
      <c r="I81" s="5">
        <v>0</v>
      </c>
      <c r="J81" s="5">
        <v>0</v>
      </c>
      <c r="K81" s="5">
        <v>0</v>
      </c>
      <c r="L81" s="3">
        <v>67538.090000000011</v>
      </c>
    </row>
    <row r="82" spans="1:12" x14ac:dyDescent="0.25">
      <c r="A82" s="5" t="s">
        <v>120</v>
      </c>
      <c r="B82" s="5" t="s">
        <v>17</v>
      </c>
      <c r="C82" s="5" t="s">
        <v>18</v>
      </c>
      <c r="D82" s="6">
        <v>0</v>
      </c>
      <c r="E82" s="5" t="s">
        <v>15</v>
      </c>
      <c r="F82" s="5">
        <v>64658.25</v>
      </c>
      <c r="G82" s="5">
        <v>0</v>
      </c>
      <c r="H82" s="5">
        <v>0.5</v>
      </c>
      <c r="I82" s="5">
        <v>0</v>
      </c>
      <c r="J82" s="5">
        <v>17.5</v>
      </c>
      <c r="K82" s="5">
        <v>0</v>
      </c>
      <c r="L82" s="3">
        <v>64676.25</v>
      </c>
    </row>
    <row r="83" spans="1:12" x14ac:dyDescent="0.25">
      <c r="A83" s="5" t="s">
        <v>121</v>
      </c>
      <c r="B83" s="5" t="s">
        <v>46</v>
      </c>
      <c r="C83" s="5" t="s">
        <v>37</v>
      </c>
      <c r="D83" s="6" t="s">
        <v>38</v>
      </c>
      <c r="E83" s="5" t="s">
        <v>51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64142.23</v>
      </c>
      <c r="L83" s="3">
        <v>64142.23</v>
      </c>
    </row>
    <row r="84" spans="1:12" x14ac:dyDescent="0.25">
      <c r="A84" s="5" t="s">
        <v>129</v>
      </c>
      <c r="B84" s="5" t="s">
        <v>17</v>
      </c>
      <c r="C84" s="5" t="s">
        <v>37</v>
      </c>
      <c r="D84" s="6" t="s">
        <v>38</v>
      </c>
      <c r="E84" s="5" t="s">
        <v>15</v>
      </c>
      <c r="F84" s="5">
        <v>0</v>
      </c>
      <c r="G84" s="5">
        <v>62612.13</v>
      </c>
      <c r="H84" s="5">
        <v>0</v>
      </c>
      <c r="I84" s="5">
        <v>0</v>
      </c>
      <c r="J84" s="5">
        <v>0</v>
      </c>
      <c r="K84" s="5">
        <v>0</v>
      </c>
      <c r="L84" s="3">
        <v>62612.13</v>
      </c>
    </row>
    <row r="85" spans="1:12" x14ac:dyDescent="0.25">
      <c r="A85" s="5" t="s">
        <v>122</v>
      </c>
      <c r="B85" s="5" t="s">
        <v>46</v>
      </c>
      <c r="C85" s="5" t="s">
        <v>37</v>
      </c>
      <c r="D85" s="6" t="s">
        <v>38</v>
      </c>
      <c r="E85" s="5" t="s">
        <v>34</v>
      </c>
      <c r="F85" s="5">
        <v>0</v>
      </c>
      <c r="G85" s="5">
        <v>61519.87</v>
      </c>
      <c r="H85" s="5">
        <v>0</v>
      </c>
      <c r="I85" s="5">
        <v>0</v>
      </c>
      <c r="J85" s="5">
        <v>0</v>
      </c>
      <c r="K85" s="5">
        <v>0</v>
      </c>
      <c r="L85" s="3">
        <v>61519.87</v>
      </c>
    </row>
    <row r="86" spans="1:12" x14ac:dyDescent="0.25">
      <c r="A86" s="5" t="s">
        <v>124</v>
      </c>
      <c r="B86" s="5" t="s">
        <v>17</v>
      </c>
      <c r="C86" s="5" t="s">
        <v>37</v>
      </c>
      <c r="D86" s="6" t="s">
        <v>38</v>
      </c>
      <c r="E86" s="5" t="s">
        <v>15</v>
      </c>
      <c r="F86" s="5">
        <v>0</v>
      </c>
      <c r="G86" s="5">
        <v>0</v>
      </c>
      <c r="H86" s="5">
        <v>42435</v>
      </c>
      <c r="I86" s="5">
        <v>0</v>
      </c>
      <c r="J86" s="5">
        <v>17342.5</v>
      </c>
      <c r="K86" s="5">
        <v>0</v>
      </c>
      <c r="L86" s="3">
        <v>59777.5</v>
      </c>
    </row>
    <row r="87" spans="1:12" x14ac:dyDescent="0.25">
      <c r="A87" s="5" t="s">
        <v>114</v>
      </c>
      <c r="B87" s="5" t="s">
        <v>46</v>
      </c>
      <c r="C87" s="5" t="s">
        <v>37</v>
      </c>
      <c r="D87" s="6" t="s">
        <v>38</v>
      </c>
      <c r="E87" s="5" t="s">
        <v>51</v>
      </c>
      <c r="F87" s="5">
        <v>0</v>
      </c>
      <c r="G87" s="5">
        <v>59077.3</v>
      </c>
      <c r="H87" s="5">
        <v>74.3</v>
      </c>
      <c r="I87" s="5">
        <v>0</v>
      </c>
      <c r="J87" s="5">
        <v>0</v>
      </c>
      <c r="K87" s="5">
        <v>0</v>
      </c>
      <c r="L87" s="3">
        <v>59151.600000000013</v>
      </c>
    </row>
    <row r="88" spans="1:12" x14ac:dyDescent="0.25">
      <c r="A88" s="5" t="s">
        <v>125</v>
      </c>
      <c r="B88" s="5" t="s">
        <v>46</v>
      </c>
      <c r="C88" s="5" t="s">
        <v>18</v>
      </c>
      <c r="D88" s="6" t="s">
        <v>126</v>
      </c>
      <c r="E88" s="5" t="s">
        <v>127</v>
      </c>
      <c r="F88" s="5">
        <v>7728</v>
      </c>
      <c r="G88" s="5">
        <v>30378.78</v>
      </c>
      <c r="H88" s="5">
        <v>19837</v>
      </c>
      <c r="I88" s="5">
        <v>0.45</v>
      </c>
      <c r="J88" s="5">
        <v>0</v>
      </c>
      <c r="K88" s="5">
        <v>0</v>
      </c>
      <c r="L88" s="3">
        <v>57944.23</v>
      </c>
    </row>
    <row r="89" spans="1:12" x14ac:dyDescent="0.25">
      <c r="A89" s="5" t="s">
        <v>110</v>
      </c>
      <c r="B89" s="5" t="s">
        <v>46</v>
      </c>
      <c r="C89" s="5" t="s">
        <v>37</v>
      </c>
      <c r="D89" s="6" t="s">
        <v>38</v>
      </c>
      <c r="E89" s="5" t="s">
        <v>51</v>
      </c>
      <c r="F89" s="5">
        <v>0</v>
      </c>
      <c r="G89" s="5">
        <v>56625</v>
      </c>
      <c r="H89" s="5">
        <v>0</v>
      </c>
      <c r="I89" s="5">
        <v>0</v>
      </c>
      <c r="J89" s="5">
        <v>0</v>
      </c>
      <c r="K89" s="5">
        <v>0</v>
      </c>
      <c r="L89" s="3">
        <v>56625</v>
      </c>
    </row>
    <row r="90" spans="1:12" x14ac:dyDescent="0.25">
      <c r="A90" s="5" t="s">
        <v>128</v>
      </c>
      <c r="B90" s="5">
        <v>0</v>
      </c>
      <c r="C90" s="5" t="s">
        <v>37</v>
      </c>
      <c r="D90" s="6" t="s">
        <v>38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55000</v>
      </c>
      <c r="L90" s="3">
        <v>55000</v>
      </c>
    </row>
    <row r="91" spans="1:12" x14ac:dyDescent="0.25">
      <c r="A91" s="5" t="s">
        <v>131</v>
      </c>
      <c r="B91" s="5" t="s">
        <v>46</v>
      </c>
      <c r="C91" s="5" t="s">
        <v>18</v>
      </c>
      <c r="D91" s="6" t="s">
        <v>19</v>
      </c>
      <c r="E91" s="5" t="s">
        <v>79</v>
      </c>
      <c r="F91" s="5">
        <v>12350</v>
      </c>
      <c r="G91" s="5">
        <v>0</v>
      </c>
      <c r="H91" s="5">
        <v>0</v>
      </c>
      <c r="I91" s="5">
        <v>38659.54</v>
      </c>
      <c r="J91" s="5">
        <v>0</v>
      </c>
      <c r="K91" s="5">
        <v>0</v>
      </c>
      <c r="L91" s="3">
        <v>51009.54</v>
      </c>
    </row>
    <row r="92" spans="1:12" x14ac:dyDescent="0.25">
      <c r="A92" s="5" t="s">
        <v>133</v>
      </c>
      <c r="B92" s="5" t="s">
        <v>17</v>
      </c>
      <c r="C92" s="5" t="s">
        <v>37</v>
      </c>
      <c r="D92" s="6" t="s">
        <v>38</v>
      </c>
      <c r="E92" s="5" t="s">
        <v>15</v>
      </c>
      <c r="F92" s="5">
        <v>0</v>
      </c>
      <c r="G92" s="5">
        <v>0</v>
      </c>
      <c r="H92" s="5">
        <v>150</v>
      </c>
      <c r="I92" s="5">
        <v>0</v>
      </c>
      <c r="J92" s="5"/>
      <c r="K92" s="5">
        <v>50000</v>
      </c>
      <c r="L92" s="3">
        <v>50150</v>
      </c>
    </row>
    <row r="93" spans="1:12" x14ac:dyDescent="0.25">
      <c r="A93" s="5" t="s">
        <v>112</v>
      </c>
      <c r="B93" s="5">
        <v>0</v>
      </c>
      <c r="C93" s="5" t="s">
        <v>37</v>
      </c>
      <c r="D93" s="6" t="s">
        <v>38</v>
      </c>
      <c r="E93" s="5" t="s">
        <v>15</v>
      </c>
      <c r="F93" s="5">
        <v>0</v>
      </c>
      <c r="G93" s="5">
        <v>46214.1</v>
      </c>
      <c r="H93" s="5">
        <v>0</v>
      </c>
      <c r="I93" s="5">
        <v>0</v>
      </c>
      <c r="J93" s="5">
        <v>0</v>
      </c>
      <c r="K93" s="5">
        <v>0</v>
      </c>
      <c r="L93" s="3">
        <v>46214.1</v>
      </c>
    </row>
    <row r="94" spans="1:12" x14ac:dyDescent="0.25">
      <c r="A94" s="5" t="s">
        <v>116</v>
      </c>
      <c r="B94" s="5">
        <v>0</v>
      </c>
      <c r="C94" s="5" t="s">
        <v>37</v>
      </c>
      <c r="D94" s="6" t="s">
        <v>38</v>
      </c>
      <c r="E94" s="5" t="s">
        <v>15</v>
      </c>
      <c r="F94" s="5">
        <v>0</v>
      </c>
      <c r="G94" s="5">
        <v>0</v>
      </c>
      <c r="H94" s="5">
        <v>6701</v>
      </c>
      <c r="I94" s="5">
        <v>27355</v>
      </c>
      <c r="J94" s="5">
        <v>11184.04</v>
      </c>
      <c r="K94" s="5">
        <v>0</v>
      </c>
      <c r="L94" s="3">
        <v>45240.04</v>
      </c>
    </row>
    <row r="95" spans="1:12" x14ac:dyDescent="0.25">
      <c r="A95" s="5" t="s">
        <v>136</v>
      </c>
      <c r="B95" s="5" t="s">
        <v>17</v>
      </c>
      <c r="C95" s="5" t="s">
        <v>14</v>
      </c>
      <c r="D95" s="6" t="s">
        <v>68</v>
      </c>
      <c r="E95" s="5" t="s">
        <v>15</v>
      </c>
      <c r="F95" s="5">
        <v>0</v>
      </c>
      <c r="G95" s="5">
        <v>0</v>
      </c>
      <c r="H95" s="5">
        <v>0</v>
      </c>
      <c r="I95" s="5">
        <v>0</v>
      </c>
      <c r="J95" s="5">
        <v>43564.56</v>
      </c>
      <c r="K95" s="5">
        <v>0</v>
      </c>
      <c r="L95" s="3">
        <v>43564.56</v>
      </c>
    </row>
    <row r="96" spans="1:12" x14ac:dyDescent="0.25">
      <c r="A96" s="5" t="s">
        <v>137</v>
      </c>
      <c r="B96" s="5" t="s">
        <v>46</v>
      </c>
      <c r="C96" s="5" t="s">
        <v>37</v>
      </c>
      <c r="D96" s="6" t="s">
        <v>38</v>
      </c>
      <c r="E96" s="5" t="s">
        <v>51</v>
      </c>
      <c r="F96" s="5">
        <v>0</v>
      </c>
      <c r="G96" s="5">
        <v>42250</v>
      </c>
      <c r="H96" s="5">
        <v>0</v>
      </c>
      <c r="I96" s="5">
        <v>0</v>
      </c>
      <c r="J96" s="5">
        <v>0</v>
      </c>
      <c r="K96" s="5">
        <v>0</v>
      </c>
      <c r="L96" s="3">
        <v>42250</v>
      </c>
    </row>
    <row r="97" spans="1:12" x14ac:dyDescent="0.25">
      <c r="A97" s="5" t="s">
        <v>138</v>
      </c>
      <c r="B97" s="5" t="s">
        <v>17</v>
      </c>
      <c r="C97" s="5" t="s">
        <v>14</v>
      </c>
      <c r="D97" s="6" t="s">
        <v>19</v>
      </c>
      <c r="E97" s="5" t="s">
        <v>41</v>
      </c>
      <c r="F97" s="5">
        <v>0</v>
      </c>
      <c r="G97" s="5">
        <v>0</v>
      </c>
      <c r="H97" s="5">
        <v>0</v>
      </c>
      <c r="I97" s="5">
        <v>33966</v>
      </c>
      <c r="J97" s="5">
        <v>7800</v>
      </c>
      <c r="K97" s="5">
        <v>0</v>
      </c>
      <c r="L97" s="3">
        <v>41766</v>
      </c>
    </row>
    <row r="98" spans="1:12" x14ac:dyDescent="0.25">
      <c r="A98" s="5" t="s">
        <v>139</v>
      </c>
      <c r="B98" s="5" t="s">
        <v>17</v>
      </c>
      <c r="C98" s="5" t="s">
        <v>37</v>
      </c>
      <c r="D98" s="6" t="s">
        <v>38</v>
      </c>
      <c r="E98" s="5" t="s">
        <v>15</v>
      </c>
      <c r="F98" s="5">
        <v>0</v>
      </c>
      <c r="G98" s="5">
        <v>8110</v>
      </c>
      <c r="H98" s="5">
        <v>11590</v>
      </c>
      <c r="I98" s="5">
        <v>9860</v>
      </c>
      <c r="J98" s="5">
        <v>9840</v>
      </c>
      <c r="K98" s="5">
        <v>0</v>
      </c>
      <c r="L98" s="3">
        <v>39400</v>
      </c>
    </row>
    <row r="99" spans="1:12" x14ac:dyDescent="0.25">
      <c r="A99" s="5" t="s">
        <v>108</v>
      </c>
      <c r="B99" s="5" t="s">
        <v>17</v>
      </c>
      <c r="C99" s="5" t="s">
        <v>37</v>
      </c>
      <c r="D99" s="6" t="s">
        <v>38</v>
      </c>
      <c r="E99" s="5" t="s">
        <v>15</v>
      </c>
      <c r="F99" s="5">
        <v>37242.239999999998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3">
        <v>37242.239999999998</v>
      </c>
    </row>
    <row r="100" spans="1:12" x14ac:dyDescent="0.25">
      <c r="A100" s="5" t="s">
        <v>323</v>
      </c>
      <c r="B100" s="5" t="s">
        <v>46</v>
      </c>
      <c r="C100" s="5" t="s">
        <v>37</v>
      </c>
      <c r="D100" s="6" t="s">
        <v>38</v>
      </c>
      <c r="E100" s="5" t="s">
        <v>51</v>
      </c>
      <c r="F100" s="5">
        <v>34672.28</v>
      </c>
      <c r="G100" s="5">
        <v>7.22</v>
      </c>
      <c r="H100" s="5">
        <v>0.7</v>
      </c>
      <c r="I100" s="5">
        <v>0</v>
      </c>
      <c r="J100" s="5">
        <v>0</v>
      </c>
      <c r="K100" s="5">
        <v>0</v>
      </c>
      <c r="L100" s="3">
        <v>34680.199999999997</v>
      </c>
    </row>
    <row r="101" spans="1:12" x14ac:dyDescent="0.25">
      <c r="A101" s="5" t="s">
        <v>144</v>
      </c>
      <c r="B101" s="5" t="s">
        <v>46</v>
      </c>
      <c r="C101" s="5" t="s">
        <v>37</v>
      </c>
      <c r="D101" s="6" t="s">
        <v>38</v>
      </c>
      <c r="E101" s="5" t="s">
        <v>51</v>
      </c>
      <c r="F101" s="5">
        <v>0</v>
      </c>
      <c r="G101" s="5">
        <v>32680.720000000001</v>
      </c>
      <c r="H101" s="5">
        <v>40.96</v>
      </c>
      <c r="I101" s="5">
        <v>0</v>
      </c>
      <c r="J101" s="5">
        <v>1356.19</v>
      </c>
      <c r="K101" s="5">
        <v>0</v>
      </c>
      <c r="L101" s="3">
        <v>34077.870000000003</v>
      </c>
    </row>
    <row r="102" spans="1:12" x14ac:dyDescent="0.25">
      <c r="A102" s="5" t="s">
        <v>145</v>
      </c>
      <c r="B102" s="5" t="s">
        <v>17</v>
      </c>
      <c r="C102" s="5" t="s">
        <v>14</v>
      </c>
      <c r="D102" s="6">
        <v>0</v>
      </c>
      <c r="E102" s="5" t="s">
        <v>15</v>
      </c>
      <c r="F102" s="5">
        <v>0</v>
      </c>
      <c r="G102" s="5">
        <v>0</v>
      </c>
      <c r="H102" s="5">
        <v>33239.82</v>
      </c>
      <c r="I102" s="5">
        <v>-62578.42</v>
      </c>
      <c r="J102" s="5">
        <v>62578.42</v>
      </c>
      <c r="K102" s="5">
        <v>0</v>
      </c>
      <c r="L102" s="3">
        <v>33239.82</v>
      </c>
    </row>
    <row r="103" spans="1:12" x14ac:dyDescent="0.25">
      <c r="A103" s="5" t="s">
        <v>293</v>
      </c>
      <c r="B103" s="5" t="s">
        <v>46</v>
      </c>
      <c r="C103" s="5" t="s">
        <v>37</v>
      </c>
      <c r="D103" s="6" t="s">
        <v>38</v>
      </c>
      <c r="E103" s="5" t="s">
        <v>51</v>
      </c>
      <c r="F103" s="5">
        <v>35864.54</v>
      </c>
      <c r="G103" s="5">
        <v>-955</v>
      </c>
      <c r="H103" s="5">
        <v>-314</v>
      </c>
      <c r="I103" s="5">
        <v>-1950</v>
      </c>
      <c r="J103" s="5">
        <v>0</v>
      </c>
      <c r="K103" s="5">
        <v>0</v>
      </c>
      <c r="L103" s="3">
        <v>32645.54</v>
      </c>
    </row>
    <row r="104" spans="1:12" x14ac:dyDescent="0.25">
      <c r="A104" s="5" t="s">
        <v>146</v>
      </c>
      <c r="B104" s="5">
        <v>0</v>
      </c>
      <c r="C104" s="5" t="s">
        <v>37</v>
      </c>
      <c r="D104" s="6" t="s">
        <v>38</v>
      </c>
      <c r="E104" s="5" t="s">
        <v>79</v>
      </c>
      <c r="F104" s="5">
        <v>0</v>
      </c>
      <c r="G104" s="5">
        <v>-40000</v>
      </c>
      <c r="H104" s="5">
        <v>-10000</v>
      </c>
      <c r="I104" s="5">
        <v>0</v>
      </c>
      <c r="J104" s="5">
        <v>80060.69</v>
      </c>
      <c r="K104" s="5">
        <v>0</v>
      </c>
      <c r="L104" s="3">
        <v>30060.69</v>
      </c>
    </row>
    <row r="105" spans="1:12" x14ac:dyDescent="0.25">
      <c r="A105" s="5" t="s">
        <v>183</v>
      </c>
      <c r="B105" s="5" t="s">
        <v>46</v>
      </c>
      <c r="C105" s="5" t="s">
        <v>37</v>
      </c>
      <c r="D105" s="6" t="s">
        <v>38</v>
      </c>
      <c r="E105" s="5" t="s">
        <v>79</v>
      </c>
      <c r="F105" s="5">
        <v>0</v>
      </c>
      <c r="G105" s="5">
        <v>28628.55</v>
      </c>
      <c r="H105" s="5">
        <v>0</v>
      </c>
      <c r="I105" s="5">
        <v>341.45</v>
      </c>
      <c r="J105" s="5">
        <v>0</v>
      </c>
      <c r="K105" s="5">
        <v>0</v>
      </c>
      <c r="L105" s="3">
        <v>28970</v>
      </c>
    </row>
    <row r="106" spans="1:12" x14ac:dyDescent="0.25">
      <c r="A106" s="5" t="s">
        <v>148</v>
      </c>
      <c r="B106" s="5" t="s">
        <v>46</v>
      </c>
      <c r="C106" s="5" t="s">
        <v>37</v>
      </c>
      <c r="D106" s="6" t="s">
        <v>38</v>
      </c>
      <c r="E106" s="5" t="s">
        <v>51</v>
      </c>
      <c r="F106" s="5">
        <v>0</v>
      </c>
      <c r="G106" s="5">
        <v>0</v>
      </c>
      <c r="H106" s="5">
        <v>28446.38</v>
      </c>
      <c r="I106" s="5">
        <v>0</v>
      </c>
      <c r="J106" s="5">
        <v>0</v>
      </c>
      <c r="K106" s="5">
        <v>0</v>
      </c>
      <c r="L106" s="3">
        <v>28446.38</v>
      </c>
    </row>
    <row r="107" spans="1:12" x14ac:dyDescent="0.25">
      <c r="A107" s="5" t="s">
        <v>149</v>
      </c>
      <c r="B107" s="5" t="s">
        <v>17</v>
      </c>
      <c r="C107" s="5" t="s">
        <v>18</v>
      </c>
      <c r="D107" s="6" t="s">
        <v>21</v>
      </c>
      <c r="E107" s="5" t="s">
        <v>15</v>
      </c>
      <c r="F107" s="5">
        <v>0</v>
      </c>
      <c r="G107" s="5">
        <v>0</v>
      </c>
      <c r="H107" s="5">
        <v>0</v>
      </c>
      <c r="I107" s="5">
        <v>0</v>
      </c>
      <c r="J107" s="5"/>
      <c r="K107" s="5">
        <v>28241.84</v>
      </c>
      <c r="L107" s="3">
        <v>28241.84</v>
      </c>
    </row>
    <row r="108" spans="1:12" x14ac:dyDescent="0.25">
      <c r="A108" s="5" t="s">
        <v>319</v>
      </c>
      <c r="B108" s="5" t="s">
        <v>46</v>
      </c>
      <c r="C108" s="5" t="s">
        <v>37</v>
      </c>
      <c r="D108" s="6" t="s">
        <v>38</v>
      </c>
      <c r="E108" s="5" t="s">
        <v>34</v>
      </c>
      <c r="F108" s="5">
        <v>0</v>
      </c>
      <c r="G108" s="5">
        <v>26372.86</v>
      </c>
      <c r="H108" s="5">
        <v>0</v>
      </c>
      <c r="I108" s="5">
        <v>0</v>
      </c>
      <c r="J108" s="5">
        <v>0</v>
      </c>
      <c r="K108" s="5">
        <v>0</v>
      </c>
      <c r="L108" s="3">
        <v>26372.86</v>
      </c>
    </row>
    <row r="109" spans="1:12" x14ac:dyDescent="0.25">
      <c r="A109" s="5" t="s">
        <v>151</v>
      </c>
      <c r="B109" s="5" t="s">
        <v>46</v>
      </c>
      <c r="C109" s="5" t="s">
        <v>37</v>
      </c>
      <c r="D109" s="6" t="s">
        <v>38</v>
      </c>
      <c r="E109" s="5" t="s">
        <v>79</v>
      </c>
      <c r="F109" s="5">
        <v>0</v>
      </c>
      <c r="G109" s="5">
        <v>0</v>
      </c>
      <c r="H109" s="5">
        <v>0</v>
      </c>
      <c r="I109" s="5">
        <v>0</v>
      </c>
      <c r="J109" s="5">
        <v>26301.81</v>
      </c>
      <c r="K109" s="5">
        <v>0</v>
      </c>
      <c r="L109" s="3">
        <v>26301.81</v>
      </c>
    </row>
    <row r="110" spans="1:12" x14ac:dyDescent="0.25">
      <c r="A110" s="5" t="s">
        <v>152</v>
      </c>
      <c r="B110" s="5" t="s">
        <v>17</v>
      </c>
      <c r="C110" s="5" t="s">
        <v>18</v>
      </c>
      <c r="D110" s="6" t="s">
        <v>31</v>
      </c>
      <c r="E110" s="5" t="s">
        <v>15</v>
      </c>
      <c r="F110" s="5">
        <v>0</v>
      </c>
      <c r="G110" s="5">
        <v>26008</v>
      </c>
      <c r="H110" s="5">
        <v>0</v>
      </c>
      <c r="I110" s="5">
        <v>0</v>
      </c>
      <c r="J110" s="5">
        <v>0</v>
      </c>
      <c r="K110" s="5">
        <v>0</v>
      </c>
      <c r="L110" s="3">
        <v>26008</v>
      </c>
    </row>
    <row r="111" spans="1:12" x14ac:dyDescent="0.25">
      <c r="A111" s="5" t="s">
        <v>154</v>
      </c>
      <c r="B111" s="5" t="s">
        <v>46</v>
      </c>
      <c r="C111" s="5" t="s">
        <v>37</v>
      </c>
      <c r="D111" s="6" t="s">
        <v>38</v>
      </c>
      <c r="E111" s="5" t="s">
        <v>34</v>
      </c>
      <c r="F111" s="5">
        <v>0</v>
      </c>
      <c r="G111" s="5">
        <v>13907.5</v>
      </c>
      <c r="H111" s="5">
        <v>9997</v>
      </c>
      <c r="I111" s="5">
        <v>0</v>
      </c>
      <c r="J111" s="5">
        <v>0</v>
      </c>
      <c r="K111" s="5">
        <v>0</v>
      </c>
      <c r="L111" s="3">
        <v>23904.5</v>
      </c>
    </row>
    <row r="112" spans="1:12" x14ac:dyDescent="0.25">
      <c r="A112" s="5" t="s">
        <v>176</v>
      </c>
      <c r="B112" s="5" t="s">
        <v>46</v>
      </c>
      <c r="C112" s="5" t="s">
        <v>37</v>
      </c>
      <c r="D112" s="6" t="s">
        <v>38</v>
      </c>
      <c r="E112" s="5" t="s">
        <v>79</v>
      </c>
      <c r="F112" s="5">
        <v>0</v>
      </c>
      <c r="G112" s="5">
        <v>22856.3</v>
      </c>
      <c r="H112" s="5">
        <v>0</v>
      </c>
      <c r="I112" s="5">
        <v>0</v>
      </c>
      <c r="J112" s="5">
        <v>172.03</v>
      </c>
      <c r="K112" s="5">
        <v>0</v>
      </c>
      <c r="L112" s="3">
        <v>23028.33</v>
      </c>
    </row>
    <row r="113" spans="1:12" x14ac:dyDescent="0.25">
      <c r="A113" s="5" t="s">
        <v>155</v>
      </c>
      <c r="B113" s="5" t="s">
        <v>46</v>
      </c>
      <c r="C113" s="5" t="s">
        <v>37</v>
      </c>
      <c r="D113" s="6" t="s">
        <v>38</v>
      </c>
      <c r="E113" s="5" t="s">
        <v>127</v>
      </c>
      <c r="F113" s="5">
        <v>0</v>
      </c>
      <c r="G113" s="5">
        <v>22015</v>
      </c>
      <c r="H113" s="5">
        <v>0</v>
      </c>
      <c r="I113" s="5">
        <v>0</v>
      </c>
      <c r="J113" s="5">
        <v>0</v>
      </c>
      <c r="K113" s="5">
        <v>0</v>
      </c>
      <c r="L113" s="3">
        <v>22015</v>
      </c>
    </row>
    <row r="114" spans="1:12" x14ac:dyDescent="0.25">
      <c r="A114" s="5" t="s">
        <v>160</v>
      </c>
      <c r="B114" s="5" t="s">
        <v>46</v>
      </c>
      <c r="C114" s="5" t="s">
        <v>37</v>
      </c>
      <c r="D114" s="6" t="s">
        <v>38</v>
      </c>
      <c r="E114" s="5" t="s">
        <v>79</v>
      </c>
      <c r="F114" s="5">
        <v>0</v>
      </c>
      <c r="G114" s="5">
        <v>525</v>
      </c>
      <c r="H114" s="5">
        <v>0</v>
      </c>
      <c r="I114" s="5">
        <v>36.75</v>
      </c>
      <c r="J114" s="5">
        <v>19676</v>
      </c>
      <c r="K114" s="5">
        <v>0</v>
      </c>
      <c r="L114" s="3">
        <v>20237.75</v>
      </c>
    </row>
    <row r="115" spans="1:12" x14ac:dyDescent="0.25">
      <c r="A115" s="5" t="s">
        <v>161</v>
      </c>
      <c r="B115" s="5" t="s">
        <v>17</v>
      </c>
      <c r="C115" s="5" t="s">
        <v>18</v>
      </c>
      <c r="D115" s="6" t="s">
        <v>19</v>
      </c>
      <c r="E115" s="5" t="s">
        <v>127</v>
      </c>
      <c r="F115" s="5">
        <v>0</v>
      </c>
      <c r="G115" s="5">
        <v>0</v>
      </c>
      <c r="H115" s="5">
        <v>0</v>
      </c>
      <c r="I115" s="5">
        <v>0</v>
      </c>
      <c r="J115" s="5">
        <v>20039.75</v>
      </c>
      <c r="K115" s="5">
        <v>0</v>
      </c>
      <c r="L115" s="3">
        <v>20039.75</v>
      </c>
    </row>
    <row r="116" spans="1:12" x14ac:dyDescent="0.25">
      <c r="A116" s="5" t="s">
        <v>163</v>
      </c>
      <c r="B116" s="5" t="s">
        <v>46</v>
      </c>
      <c r="C116" s="5" t="s">
        <v>18</v>
      </c>
      <c r="D116" s="6" t="s">
        <v>29</v>
      </c>
      <c r="E116" s="5" t="s">
        <v>51</v>
      </c>
      <c r="F116" s="5">
        <v>0</v>
      </c>
      <c r="G116" s="5">
        <v>12371.24</v>
      </c>
      <c r="H116" s="5">
        <v>6560</v>
      </c>
      <c r="I116" s="5">
        <v>0</v>
      </c>
      <c r="J116" s="5">
        <v>0</v>
      </c>
      <c r="K116" s="5">
        <v>0</v>
      </c>
      <c r="L116" s="3">
        <v>18931.240000000002</v>
      </c>
    </row>
    <row r="117" spans="1:12" x14ac:dyDescent="0.25">
      <c r="A117" s="5" t="s">
        <v>164</v>
      </c>
      <c r="B117" s="5" t="s">
        <v>46</v>
      </c>
      <c r="C117" s="5" t="s">
        <v>37</v>
      </c>
      <c r="D117" s="6" t="s">
        <v>38</v>
      </c>
      <c r="E117" s="5" t="s">
        <v>48</v>
      </c>
      <c r="F117" s="5">
        <v>0</v>
      </c>
      <c r="G117" s="5">
        <v>0</v>
      </c>
      <c r="H117" s="5">
        <v>0</v>
      </c>
      <c r="I117" s="5">
        <v>0</v>
      </c>
      <c r="J117" s="5">
        <v>18709.810000000001</v>
      </c>
      <c r="K117" s="5">
        <v>0</v>
      </c>
      <c r="L117" s="3">
        <v>18709.810000000001</v>
      </c>
    </row>
    <row r="118" spans="1:12" x14ac:dyDescent="0.25">
      <c r="A118" s="5" t="s">
        <v>165</v>
      </c>
      <c r="B118" s="5" t="s">
        <v>46</v>
      </c>
      <c r="C118" s="5" t="s">
        <v>37</v>
      </c>
      <c r="D118" s="6" t="s">
        <v>38</v>
      </c>
      <c r="E118" s="5" t="s">
        <v>79</v>
      </c>
      <c r="F118" s="5">
        <v>0</v>
      </c>
      <c r="G118" s="5">
        <v>0</v>
      </c>
      <c r="H118" s="5">
        <v>0</v>
      </c>
      <c r="I118" s="5">
        <v>0</v>
      </c>
      <c r="J118" s="5">
        <v>18092</v>
      </c>
      <c r="K118" s="5">
        <v>0</v>
      </c>
      <c r="L118" s="3">
        <v>18092</v>
      </c>
    </row>
    <row r="119" spans="1:12" x14ac:dyDescent="0.25">
      <c r="A119" s="5" t="s">
        <v>166</v>
      </c>
      <c r="B119" s="5" t="s">
        <v>46</v>
      </c>
      <c r="C119" s="5" t="s">
        <v>37</v>
      </c>
      <c r="D119" s="6" t="s">
        <v>38</v>
      </c>
      <c r="E119" s="5" t="s">
        <v>48</v>
      </c>
      <c r="F119" s="5">
        <v>0</v>
      </c>
      <c r="G119" s="5">
        <v>0</v>
      </c>
      <c r="H119" s="5">
        <v>0</v>
      </c>
      <c r="I119" s="5">
        <v>5435</v>
      </c>
      <c r="J119" s="5"/>
      <c r="K119" s="5">
        <v>12600</v>
      </c>
      <c r="L119" s="3">
        <v>18035</v>
      </c>
    </row>
    <row r="120" spans="1:12" x14ac:dyDescent="0.25">
      <c r="A120" s="5" t="s">
        <v>167</v>
      </c>
      <c r="B120" s="5" t="s">
        <v>46</v>
      </c>
      <c r="C120" s="5" t="s">
        <v>37</v>
      </c>
      <c r="D120" s="6" t="s">
        <v>38</v>
      </c>
      <c r="E120" s="5" t="s">
        <v>127</v>
      </c>
      <c r="F120" s="5">
        <v>0</v>
      </c>
      <c r="G120" s="5">
        <v>15338</v>
      </c>
      <c r="H120" s="5">
        <v>2430</v>
      </c>
      <c r="I120" s="5">
        <v>0</v>
      </c>
      <c r="J120" s="5">
        <v>0</v>
      </c>
      <c r="K120" s="5">
        <v>0</v>
      </c>
      <c r="L120" s="3">
        <v>17768</v>
      </c>
    </row>
    <row r="121" spans="1:12" x14ac:dyDescent="0.25">
      <c r="A121" s="5" t="s">
        <v>156</v>
      </c>
      <c r="B121" s="5" t="s">
        <v>46</v>
      </c>
      <c r="C121" s="5" t="s">
        <v>37</v>
      </c>
      <c r="D121" s="6" t="s">
        <v>38</v>
      </c>
      <c r="E121" s="5" t="s">
        <v>127</v>
      </c>
      <c r="F121" s="5">
        <v>9820.2800000000007</v>
      </c>
      <c r="G121" s="5">
        <v>0.25</v>
      </c>
      <c r="H121" s="5">
        <v>1.25</v>
      </c>
      <c r="I121" s="5">
        <v>0</v>
      </c>
      <c r="J121" s="5">
        <v>7719</v>
      </c>
      <c r="K121" s="5">
        <v>0</v>
      </c>
      <c r="L121" s="3">
        <v>17540.78</v>
      </c>
    </row>
    <row r="122" spans="1:12" x14ac:dyDescent="0.25">
      <c r="A122" s="5" t="s">
        <v>168</v>
      </c>
      <c r="B122" s="5" t="s">
        <v>46</v>
      </c>
      <c r="C122" s="5" t="s">
        <v>37</v>
      </c>
      <c r="D122" s="6" t="s">
        <v>38</v>
      </c>
      <c r="E122" s="5" t="s">
        <v>34</v>
      </c>
      <c r="F122" s="5">
        <v>0</v>
      </c>
      <c r="G122" s="5">
        <v>0</v>
      </c>
      <c r="H122" s="5">
        <v>16550</v>
      </c>
      <c r="I122" s="5">
        <v>0</v>
      </c>
      <c r="J122" s="5">
        <v>0</v>
      </c>
      <c r="K122" s="5">
        <v>0</v>
      </c>
      <c r="L122" s="3">
        <v>16550</v>
      </c>
    </row>
    <row r="123" spans="1:12" x14ac:dyDescent="0.25">
      <c r="A123" s="5" t="s">
        <v>162</v>
      </c>
      <c r="B123" s="5" t="s">
        <v>46</v>
      </c>
      <c r="C123" s="5" t="s">
        <v>37</v>
      </c>
      <c r="D123" s="6" t="s">
        <v>38</v>
      </c>
      <c r="E123" s="5" t="s">
        <v>79</v>
      </c>
      <c r="F123" s="5">
        <v>0</v>
      </c>
      <c r="G123" s="5">
        <v>16363</v>
      </c>
      <c r="H123" s="5">
        <v>127</v>
      </c>
      <c r="I123" s="5">
        <v>16</v>
      </c>
      <c r="J123" s="5">
        <v>0</v>
      </c>
      <c r="K123" s="5">
        <v>0</v>
      </c>
      <c r="L123" s="3">
        <v>16506</v>
      </c>
    </row>
    <row r="124" spans="1:12" x14ac:dyDescent="0.25">
      <c r="A124" s="5" t="s">
        <v>169</v>
      </c>
      <c r="B124" s="5" t="s">
        <v>46</v>
      </c>
      <c r="C124" s="5" t="s">
        <v>37</v>
      </c>
      <c r="D124" s="6" t="s">
        <v>38</v>
      </c>
      <c r="E124" s="5" t="s">
        <v>79</v>
      </c>
      <c r="F124" s="5">
        <v>0</v>
      </c>
      <c r="G124" s="5">
        <v>15825.1</v>
      </c>
      <c r="H124" s="5">
        <v>0.08</v>
      </c>
      <c r="I124" s="5">
        <v>0</v>
      </c>
      <c r="J124" s="5">
        <v>0</v>
      </c>
      <c r="K124" s="5">
        <v>0</v>
      </c>
      <c r="L124" s="3">
        <v>15825.18</v>
      </c>
    </row>
    <row r="125" spans="1:12" x14ac:dyDescent="0.25">
      <c r="A125" s="5" t="s">
        <v>170</v>
      </c>
      <c r="B125" s="5" t="s">
        <v>46</v>
      </c>
      <c r="C125" s="5" t="s">
        <v>37</v>
      </c>
      <c r="D125" s="6" t="s">
        <v>38</v>
      </c>
      <c r="E125" s="5" t="s">
        <v>79</v>
      </c>
      <c r="F125" s="5">
        <v>0</v>
      </c>
      <c r="G125" s="5">
        <v>14650.59</v>
      </c>
      <c r="H125" s="5">
        <v>0.75</v>
      </c>
      <c r="I125" s="5">
        <v>0</v>
      </c>
      <c r="J125" s="5">
        <v>0</v>
      </c>
      <c r="K125" s="5">
        <v>0</v>
      </c>
      <c r="L125" s="3">
        <v>14651.34</v>
      </c>
    </row>
    <row r="126" spans="1:12" x14ac:dyDescent="0.25">
      <c r="A126" s="5" t="s">
        <v>123</v>
      </c>
      <c r="B126" s="5" t="s">
        <v>17</v>
      </c>
      <c r="C126" s="5" t="s">
        <v>18</v>
      </c>
      <c r="D126" s="6">
        <v>0</v>
      </c>
      <c r="E126" s="5" t="s">
        <v>15</v>
      </c>
      <c r="F126" s="5">
        <v>0</v>
      </c>
      <c r="G126" s="5">
        <v>14383.6</v>
      </c>
      <c r="H126" s="5">
        <v>0</v>
      </c>
      <c r="I126" s="5">
        <v>0</v>
      </c>
      <c r="J126" s="5">
        <v>0</v>
      </c>
      <c r="K126" s="5">
        <v>0</v>
      </c>
      <c r="L126" s="3">
        <v>14383.6</v>
      </c>
    </row>
    <row r="127" spans="1:12" x14ac:dyDescent="0.25">
      <c r="A127" s="5" t="s">
        <v>171</v>
      </c>
      <c r="B127" s="5" t="s">
        <v>46</v>
      </c>
      <c r="C127" s="5" t="s">
        <v>37</v>
      </c>
      <c r="D127" s="6" t="s">
        <v>38</v>
      </c>
      <c r="E127" s="5" t="s">
        <v>127</v>
      </c>
      <c r="F127" s="5">
        <v>0</v>
      </c>
      <c r="G127" s="5">
        <v>14160</v>
      </c>
      <c r="H127" s="5">
        <v>0</v>
      </c>
      <c r="I127" s="5">
        <v>0</v>
      </c>
      <c r="J127" s="5">
        <v>0</v>
      </c>
      <c r="K127" s="5">
        <v>0</v>
      </c>
      <c r="L127" s="3">
        <v>14160</v>
      </c>
    </row>
    <row r="128" spans="1:12" x14ac:dyDescent="0.25">
      <c r="A128" s="5" t="s">
        <v>286</v>
      </c>
      <c r="B128" s="5" t="s">
        <v>46</v>
      </c>
      <c r="C128" s="5" t="s">
        <v>37</v>
      </c>
      <c r="D128" s="6" t="s">
        <v>38</v>
      </c>
      <c r="E128" s="5" t="s">
        <v>51</v>
      </c>
      <c r="F128" s="5">
        <v>0</v>
      </c>
      <c r="G128" s="5">
        <v>12801</v>
      </c>
      <c r="H128" s="5">
        <v>0</v>
      </c>
      <c r="I128" s="5">
        <v>0</v>
      </c>
      <c r="J128" s="5">
        <v>0</v>
      </c>
      <c r="K128" s="5">
        <v>0</v>
      </c>
      <c r="L128" s="3">
        <v>12801</v>
      </c>
    </row>
    <row r="129" spans="1:12" x14ac:dyDescent="0.25">
      <c r="A129" s="5" t="s">
        <v>172</v>
      </c>
      <c r="B129" s="5" t="s">
        <v>46</v>
      </c>
      <c r="C129" s="5" t="s">
        <v>37</v>
      </c>
      <c r="D129" s="6" t="s">
        <v>38</v>
      </c>
      <c r="E129" s="5" t="s">
        <v>127</v>
      </c>
      <c r="F129" s="5">
        <v>0</v>
      </c>
      <c r="G129" s="5">
        <v>12063</v>
      </c>
      <c r="H129" s="5">
        <v>513</v>
      </c>
      <c r="I129" s="5">
        <v>0</v>
      </c>
      <c r="J129" s="5">
        <v>0</v>
      </c>
      <c r="K129" s="5">
        <v>0</v>
      </c>
      <c r="L129" s="3">
        <v>12576</v>
      </c>
    </row>
    <row r="130" spans="1:12" x14ac:dyDescent="0.25">
      <c r="A130" s="5" t="s">
        <v>130</v>
      </c>
      <c r="B130" s="5" t="s">
        <v>46</v>
      </c>
      <c r="C130" s="5" t="s">
        <v>37</v>
      </c>
      <c r="D130" s="6" t="s">
        <v>38</v>
      </c>
      <c r="E130" s="5" t="s">
        <v>127</v>
      </c>
      <c r="F130" s="5">
        <v>0</v>
      </c>
      <c r="G130" s="5">
        <v>12354.33</v>
      </c>
      <c r="H130" s="5">
        <v>0</v>
      </c>
      <c r="I130" s="5">
        <v>0</v>
      </c>
      <c r="J130" s="5">
        <v>0</v>
      </c>
      <c r="K130" s="5">
        <v>0</v>
      </c>
      <c r="L130" s="3">
        <v>12354.33</v>
      </c>
    </row>
    <row r="131" spans="1:12" x14ac:dyDescent="0.25">
      <c r="A131" s="5" t="s">
        <v>173</v>
      </c>
      <c r="B131" s="5" t="s">
        <v>46</v>
      </c>
      <c r="C131" s="5" t="s">
        <v>18</v>
      </c>
      <c r="D131" s="6" t="s">
        <v>174</v>
      </c>
      <c r="E131" s="5" t="s">
        <v>34</v>
      </c>
      <c r="F131" s="5">
        <v>0</v>
      </c>
      <c r="G131" s="5">
        <v>0</v>
      </c>
      <c r="H131" s="5">
        <v>0</v>
      </c>
      <c r="I131" s="5">
        <v>0</v>
      </c>
      <c r="J131" s="5">
        <v>12313.8</v>
      </c>
      <c r="K131" s="5">
        <v>0</v>
      </c>
      <c r="L131" s="3">
        <v>12313.8</v>
      </c>
    </row>
    <row r="132" spans="1:12" x14ac:dyDescent="0.25">
      <c r="A132" s="5" t="s">
        <v>175</v>
      </c>
      <c r="B132" s="5" t="s">
        <v>46</v>
      </c>
      <c r="C132" s="5" t="s">
        <v>37</v>
      </c>
      <c r="D132" s="6" t="s">
        <v>38</v>
      </c>
      <c r="E132" s="5" t="s">
        <v>127</v>
      </c>
      <c r="F132" s="5">
        <v>0</v>
      </c>
      <c r="G132" s="5">
        <v>12247.46</v>
      </c>
      <c r="H132" s="5">
        <v>0</v>
      </c>
      <c r="I132" s="5">
        <v>0</v>
      </c>
      <c r="J132" s="5">
        <v>0</v>
      </c>
      <c r="K132" s="5">
        <v>0</v>
      </c>
      <c r="L132" s="3">
        <v>12247.46</v>
      </c>
    </row>
    <row r="133" spans="1:12" x14ac:dyDescent="0.25">
      <c r="A133" s="5" t="s">
        <v>157</v>
      </c>
      <c r="B133" s="5" t="s">
        <v>46</v>
      </c>
      <c r="C133" s="5" t="s">
        <v>37</v>
      </c>
      <c r="D133" s="6" t="s">
        <v>38</v>
      </c>
      <c r="E133" s="5" t="s">
        <v>51</v>
      </c>
      <c r="F133" s="5">
        <v>0</v>
      </c>
      <c r="G133" s="5">
        <v>11304.44</v>
      </c>
      <c r="H133" s="5">
        <v>0</v>
      </c>
      <c r="I133" s="5">
        <v>0</v>
      </c>
      <c r="J133" s="5">
        <v>0</v>
      </c>
      <c r="K133" s="5">
        <v>0</v>
      </c>
      <c r="L133" s="3">
        <v>11304.44</v>
      </c>
    </row>
    <row r="134" spans="1:12" x14ac:dyDescent="0.25">
      <c r="A134" s="5" t="s">
        <v>179</v>
      </c>
      <c r="B134" s="5" t="s">
        <v>46</v>
      </c>
      <c r="C134" s="5" t="s">
        <v>37</v>
      </c>
      <c r="D134" s="6" t="s">
        <v>38</v>
      </c>
      <c r="E134" s="5" t="s">
        <v>79</v>
      </c>
      <c r="F134" s="5">
        <v>0</v>
      </c>
      <c r="G134" s="5">
        <v>10355.75</v>
      </c>
      <c r="H134" s="5">
        <v>663</v>
      </c>
      <c r="I134" s="5">
        <v>0</v>
      </c>
      <c r="J134" s="5">
        <v>0</v>
      </c>
      <c r="K134" s="5">
        <v>0</v>
      </c>
      <c r="L134" s="3">
        <v>11018.75</v>
      </c>
    </row>
    <row r="135" spans="1:12" x14ac:dyDescent="0.25">
      <c r="A135" s="5" t="s">
        <v>324</v>
      </c>
      <c r="B135" s="5" t="s">
        <v>46</v>
      </c>
      <c r="C135" s="5" t="s">
        <v>37</v>
      </c>
      <c r="D135" s="6" t="s">
        <v>38</v>
      </c>
      <c r="E135" s="5" t="s">
        <v>51</v>
      </c>
      <c r="F135" s="5">
        <v>0</v>
      </c>
      <c r="G135" s="5">
        <v>9916.58</v>
      </c>
      <c r="H135" s="5">
        <v>0</v>
      </c>
      <c r="I135" s="5">
        <v>0</v>
      </c>
      <c r="J135" s="5">
        <v>871.42</v>
      </c>
      <c r="K135" s="5">
        <v>0</v>
      </c>
      <c r="L135" s="3">
        <v>10788</v>
      </c>
    </row>
    <row r="136" spans="1:12" x14ac:dyDescent="0.25">
      <c r="A136" s="5" t="s">
        <v>180</v>
      </c>
      <c r="B136" s="5" t="s">
        <v>46</v>
      </c>
      <c r="C136" s="5" t="s">
        <v>37</v>
      </c>
      <c r="D136" s="6" t="s">
        <v>38</v>
      </c>
      <c r="E136" s="5" t="s">
        <v>181</v>
      </c>
      <c r="F136" s="5">
        <v>0</v>
      </c>
      <c r="G136" s="5">
        <v>10400</v>
      </c>
      <c r="H136" s="5">
        <v>0</v>
      </c>
      <c r="I136" s="5">
        <v>0</v>
      </c>
      <c r="J136" s="5">
        <v>0</v>
      </c>
      <c r="K136" s="5">
        <v>0</v>
      </c>
      <c r="L136" s="3">
        <v>10400</v>
      </c>
    </row>
    <row r="137" spans="1:12" x14ac:dyDescent="0.25">
      <c r="A137" s="5" t="s">
        <v>182</v>
      </c>
      <c r="B137" s="5">
        <v>0</v>
      </c>
      <c r="C137" s="5" t="s">
        <v>14</v>
      </c>
      <c r="D137" s="6">
        <v>0</v>
      </c>
      <c r="E137" s="5" t="s">
        <v>41</v>
      </c>
      <c r="F137" s="5">
        <v>0</v>
      </c>
      <c r="G137" s="5">
        <v>347800</v>
      </c>
      <c r="H137" s="5">
        <v>-337600</v>
      </c>
      <c r="I137" s="5">
        <v>0</v>
      </c>
      <c r="J137" s="5">
        <v>0</v>
      </c>
      <c r="K137" s="5">
        <v>0</v>
      </c>
      <c r="L137" s="3">
        <v>10200</v>
      </c>
    </row>
    <row r="138" spans="1:12" x14ac:dyDescent="0.25">
      <c r="A138" s="5" t="s">
        <v>184</v>
      </c>
      <c r="B138" s="5" t="s">
        <v>46</v>
      </c>
      <c r="C138" s="5" t="s">
        <v>37</v>
      </c>
      <c r="D138" s="6" t="s">
        <v>38</v>
      </c>
      <c r="E138" s="5" t="s">
        <v>79</v>
      </c>
      <c r="F138" s="5">
        <v>0</v>
      </c>
      <c r="G138" s="5">
        <v>0</v>
      </c>
      <c r="H138" s="5">
        <v>0</v>
      </c>
      <c r="I138" s="5">
        <v>0</v>
      </c>
      <c r="J138" s="5">
        <v>10028.290000000001</v>
      </c>
      <c r="K138" s="5">
        <v>0</v>
      </c>
      <c r="L138" s="3">
        <v>10028.290000000001</v>
      </c>
    </row>
    <row r="139" spans="1:12" x14ac:dyDescent="0.25">
      <c r="A139" s="5" t="s">
        <v>135</v>
      </c>
      <c r="B139" s="5" t="s">
        <v>46</v>
      </c>
      <c r="C139" s="5" t="s">
        <v>37</v>
      </c>
      <c r="D139" s="6" t="s">
        <v>38</v>
      </c>
      <c r="E139" s="5" t="s">
        <v>51</v>
      </c>
      <c r="F139" s="5">
        <v>0</v>
      </c>
      <c r="G139" s="5">
        <v>9635.9500000000007</v>
      </c>
      <c r="H139" s="5">
        <v>0</v>
      </c>
      <c r="I139" s="5">
        <v>0</v>
      </c>
      <c r="J139" s="5">
        <v>0</v>
      </c>
      <c r="K139" s="5">
        <v>0</v>
      </c>
      <c r="L139" s="3">
        <v>9635.9500000000007</v>
      </c>
    </row>
    <row r="140" spans="1:12" x14ac:dyDescent="0.25">
      <c r="A140" s="5" t="s">
        <v>186</v>
      </c>
      <c r="B140" s="5" t="s">
        <v>46</v>
      </c>
      <c r="C140" s="5" t="s">
        <v>37</v>
      </c>
      <c r="D140" s="6" t="s">
        <v>38</v>
      </c>
      <c r="E140" s="5" t="s">
        <v>127</v>
      </c>
      <c r="F140" s="5">
        <v>0</v>
      </c>
      <c r="G140" s="5">
        <v>9558.08</v>
      </c>
      <c r="H140" s="5">
        <v>14.46</v>
      </c>
      <c r="I140" s="5">
        <v>0</v>
      </c>
      <c r="J140" s="5">
        <v>0</v>
      </c>
      <c r="K140" s="5">
        <v>0</v>
      </c>
      <c r="L140" s="3">
        <v>9572.5399999999991</v>
      </c>
    </row>
    <row r="141" spans="1:12" x14ac:dyDescent="0.25">
      <c r="A141" s="5" t="s">
        <v>189</v>
      </c>
      <c r="B141" s="5" t="s">
        <v>46</v>
      </c>
      <c r="C141" s="5" t="s">
        <v>37</v>
      </c>
      <c r="D141" s="6" t="s">
        <v>38</v>
      </c>
      <c r="E141" s="5" t="s">
        <v>34</v>
      </c>
      <c r="F141" s="5">
        <v>0</v>
      </c>
      <c r="G141" s="5">
        <v>0</v>
      </c>
      <c r="H141" s="5">
        <v>0</v>
      </c>
      <c r="I141" s="5">
        <v>0</v>
      </c>
      <c r="J141" s="5"/>
      <c r="K141" s="5">
        <v>9288.7999999999993</v>
      </c>
      <c r="L141" s="3">
        <v>9288.7999999999993</v>
      </c>
    </row>
    <row r="142" spans="1:12" x14ac:dyDescent="0.25">
      <c r="A142" s="5" t="s">
        <v>191</v>
      </c>
      <c r="B142" s="5" t="s">
        <v>46</v>
      </c>
      <c r="C142" s="5" t="s">
        <v>18</v>
      </c>
      <c r="D142" s="6" t="s">
        <v>31</v>
      </c>
      <c r="E142" s="5" t="s">
        <v>51</v>
      </c>
      <c r="F142" s="5">
        <v>0</v>
      </c>
      <c r="G142" s="5">
        <v>0</v>
      </c>
      <c r="H142" s="5">
        <v>0</v>
      </c>
      <c r="I142" s="5">
        <v>0</v>
      </c>
      <c r="J142" s="5">
        <v>9132.3700000000008</v>
      </c>
      <c r="K142" s="5">
        <v>0</v>
      </c>
      <c r="L142" s="3">
        <v>9132.3700000000008</v>
      </c>
    </row>
    <row r="143" spans="1:12" x14ac:dyDescent="0.25">
      <c r="A143" s="5" t="s">
        <v>194</v>
      </c>
      <c r="B143" s="5" t="s">
        <v>17</v>
      </c>
      <c r="C143" s="5" t="s">
        <v>18</v>
      </c>
      <c r="D143" s="6" t="s">
        <v>19</v>
      </c>
      <c r="E143" s="5" t="s">
        <v>15</v>
      </c>
      <c r="F143" s="5">
        <v>15475</v>
      </c>
      <c r="G143" s="5">
        <v>-7050</v>
      </c>
      <c r="H143" s="5">
        <v>-7355</v>
      </c>
      <c r="I143" s="5">
        <v>3736.15</v>
      </c>
      <c r="J143" s="5">
        <v>3617.47</v>
      </c>
      <c r="K143" s="5">
        <v>0</v>
      </c>
      <c r="L143" s="3">
        <v>8423.619999999999</v>
      </c>
    </row>
    <row r="144" spans="1:12" x14ac:dyDescent="0.25">
      <c r="A144" s="5" t="s">
        <v>326</v>
      </c>
      <c r="B144" s="5" t="s">
        <v>46</v>
      </c>
      <c r="C144" s="5" t="s">
        <v>37</v>
      </c>
      <c r="D144" s="6" t="s">
        <v>38</v>
      </c>
      <c r="E144" s="5" t="s">
        <v>48</v>
      </c>
      <c r="F144" s="5">
        <v>8140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3">
        <v>8140</v>
      </c>
    </row>
    <row r="145" spans="1:12" x14ac:dyDescent="0.25">
      <c r="A145" s="5" t="s">
        <v>196</v>
      </c>
      <c r="B145" s="5" t="s">
        <v>46</v>
      </c>
      <c r="C145" s="5" t="s">
        <v>37</v>
      </c>
      <c r="D145" s="6" t="s">
        <v>38</v>
      </c>
      <c r="E145" s="5" t="s">
        <v>48</v>
      </c>
      <c r="F145" s="5">
        <v>0</v>
      </c>
      <c r="G145" s="5">
        <v>0</v>
      </c>
      <c r="H145" s="5">
        <v>0</v>
      </c>
      <c r="I145" s="5">
        <v>0</v>
      </c>
      <c r="J145" s="5">
        <v>7925</v>
      </c>
      <c r="K145" s="5">
        <v>0</v>
      </c>
      <c r="L145" s="3">
        <v>7925</v>
      </c>
    </row>
    <row r="146" spans="1:12" x14ac:dyDescent="0.25">
      <c r="A146" s="5" t="s">
        <v>197</v>
      </c>
      <c r="B146" s="5" t="s">
        <v>17</v>
      </c>
      <c r="C146" s="5" t="s">
        <v>18</v>
      </c>
      <c r="D146" s="6" t="s">
        <v>19</v>
      </c>
      <c r="E146" s="5" t="s">
        <v>127</v>
      </c>
      <c r="F146" s="5">
        <v>0</v>
      </c>
      <c r="G146" s="5">
        <v>0</v>
      </c>
      <c r="H146" s="5">
        <v>0</v>
      </c>
      <c r="I146" s="5">
        <v>0</v>
      </c>
      <c r="J146" s="5">
        <v>7908.63</v>
      </c>
      <c r="K146" s="5">
        <v>0</v>
      </c>
      <c r="L146" s="3">
        <v>7908.63</v>
      </c>
    </row>
    <row r="147" spans="1:12" x14ac:dyDescent="0.25">
      <c r="A147" s="5" t="s">
        <v>198</v>
      </c>
      <c r="B147" s="5" t="s">
        <v>46</v>
      </c>
      <c r="C147" s="5" t="s">
        <v>37</v>
      </c>
      <c r="D147" s="6" t="s">
        <v>38</v>
      </c>
      <c r="E147" s="5" t="s">
        <v>34</v>
      </c>
      <c r="F147" s="5">
        <v>0</v>
      </c>
      <c r="G147" s="5">
        <v>0</v>
      </c>
      <c r="H147" s="5">
        <v>0</v>
      </c>
      <c r="I147" s="5">
        <v>0</v>
      </c>
      <c r="J147" s="5">
        <v>7821.78</v>
      </c>
      <c r="K147" s="5">
        <v>0</v>
      </c>
      <c r="L147" s="3">
        <v>7821.78</v>
      </c>
    </row>
    <row r="148" spans="1:12" x14ac:dyDescent="0.25">
      <c r="A148" s="5" t="s">
        <v>237</v>
      </c>
      <c r="B148" s="5" t="s">
        <v>46</v>
      </c>
      <c r="C148" s="5" t="s">
        <v>37</v>
      </c>
      <c r="D148" s="6" t="s">
        <v>38</v>
      </c>
      <c r="E148" s="5" t="s">
        <v>79</v>
      </c>
      <c r="F148" s="5">
        <v>7662.5</v>
      </c>
      <c r="G148" s="5">
        <v>1.37</v>
      </c>
      <c r="H148" s="5">
        <v>5</v>
      </c>
      <c r="I148" s="5">
        <v>0</v>
      </c>
      <c r="J148" s="5">
        <v>0</v>
      </c>
      <c r="K148" s="5">
        <v>0</v>
      </c>
      <c r="L148" s="3">
        <v>7668.87</v>
      </c>
    </row>
    <row r="149" spans="1:12" x14ac:dyDescent="0.25">
      <c r="A149" s="5" t="s">
        <v>199</v>
      </c>
      <c r="B149" s="5" t="s">
        <v>17</v>
      </c>
      <c r="C149" s="5" t="s">
        <v>14</v>
      </c>
      <c r="D149" s="6" t="s">
        <v>19</v>
      </c>
      <c r="E149" s="5" t="s">
        <v>15</v>
      </c>
      <c r="F149" s="5">
        <v>0</v>
      </c>
      <c r="G149" s="5">
        <v>0</v>
      </c>
      <c r="H149" s="5">
        <v>7507.25</v>
      </c>
      <c r="I149" s="5">
        <v>-71166.539999999994</v>
      </c>
      <c r="J149" s="5">
        <v>71166.539999999994</v>
      </c>
      <c r="K149" s="5">
        <v>0</v>
      </c>
      <c r="L149" s="3">
        <v>7507.25</v>
      </c>
    </row>
    <row r="150" spans="1:12" x14ac:dyDescent="0.25">
      <c r="A150" s="5" t="s">
        <v>200</v>
      </c>
      <c r="B150" s="5" t="s">
        <v>46</v>
      </c>
      <c r="C150" s="5" t="s">
        <v>37</v>
      </c>
      <c r="D150" s="6" t="s">
        <v>38</v>
      </c>
      <c r="E150" s="5" t="s">
        <v>127</v>
      </c>
      <c r="F150" s="5">
        <v>0</v>
      </c>
      <c r="G150" s="5">
        <v>7010</v>
      </c>
      <c r="H150" s="5">
        <v>0</v>
      </c>
      <c r="I150" s="5">
        <v>0</v>
      </c>
      <c r="J150" s="5">
        <v>0</v>
      </c>
      <c r="K150" s="5">
        <v>0</v>
      </c>
      <c r="L150" s="3">
        <v>7010</v>
      </c>
    </row>
    <row r="151" spans="1:12" x14ac:dyDescent="0.25">
      <c r="A151" s="5" t="s">
        <v>203</v>
      </c>
      <c r="B151" s="5" t="s">
        <v>46</v>
      </c>
      <c r="C151" s="5" t="s">
        <v>37</v>
      </c>
      <c r="D151" s="6" t="s">
        <v>38</v>
      </c>
      <c r="E151" s="5" t="s">
        <v>34</v>
      </c>
      <c r="F151" s="5">
        <v>0</v>
      </c>
      <c r="G151" s="5">
        <v>0</v>
      </c>
      <c r="H151" s="5">
        <v>0</v>
      </c>
      <c r="I151" s="5">
        <v>0</v>
      </c>
      <c r="J151" s="5">
        <v>6524.1</v>
      </c>
      <c r="K151" s="5">
        <v>0</v>
      </c>
      <c r="L151" s="3">
        <v>6524.1</v>
      </c>
    </row>
    <row r="152" spans="1:12" x14ac:dyDescent="0.25">
      <c r="A152" s="5" t="s">
        <v>204</v>
      </c>
      <c r="B152" s="5" t="s">
        <v>46</v>
      </c>
      <c r="C152" s="5" t="s">
        <v>37</v>
      </c>
      <c r="D152" s="6" t="s">
        <v>38</v>
      </c>
      <c r="E152" s="5" t="s">
        <v>51</v>
      </c>
      <c r="F152" s="5">
        <v>0</v>
      </c>
      <c r="G152" s="5">
        <v>0</v>
      </c>
      <c r="H152" s="5">
        <v>0</v>
      </c>
      <c r="I152" s="5">
        <v>0</v>
      </c>
      <c r="J152" s="5">
        <v>6350</v>
      </c>
      <c r="K152" s="5">
        <v>0</v>
      </c>
      <c r="L152" s="3">
        <v>6350</v>
      </c>
    </row>
    <row r="153" spans="1:12" x14ac:dyDescent="0.25">
      <c r="A153" s="5" t="s">
        <v>205</v>
      </c>
      <c r="B153" s="5" t="s">
        <v>46</v>
      </c>
      <c r="C153" s="5" t="s">
        <v>37</v>
      </c>
      <c r="D153" s="6" t="s">
        <v>38</v>
      </c>
      <c r="E153" s="5" t="s">
        <v>51</v>
      </c>
      <c r="F153" s="5">
        <v>0</v>
      </c>
      <c r="G153" s="5">
        <v>0</v>
      </c>
      <c r="H153" s="5">
        <v>0.87</v>
      </c>
      <c r="I153" s="5">
        <v>6308.93</v>
      </c>
      <c r="J153" s="5">
        <v>0</v>
      </c>
      <c r="K153" s="5">
        <v>0</v>
      </c>
      <c r="L153" s="3">
        <v>6309.8</v>
      </c>
    </row>
    <row r="154" spans="1:12" x14ac:dyDescent="0.25">
      <c r="A154" s="5" t="s">
        <v>215</v>
      </c>
      <c r="B154" s="5" t="s">
        <v>46</v>
      </c>
      <c r="C154" s="5" t="s">
        <v>37</v>
      </c>
      <c r="D154" s="6" t="s">
        <v>38</v>
      </c>
      <c r="E154" s="5" t="s">
        <v>34</v>
      </c>
      <c r="F154" s="5">
        <v>5800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3">
        <v>5800</v>
      </c>
    </row>
    <row r="155" spans="1:12" x14ac:dyDescent="0.25">
      <c r="A155" s="5" t="s">
        <v>206</v>
      </c>
      <c r="B155" s="5" t="s">
        <v>46</v>
      </c>
      <c r="C155" s="5" t="s">
        <v>37</v>
      </c>
      <c r="D155" s="6" t="s">
        <v>38</v>
      </c>
      <c r="E155" s="5" t="s">
        <v>127</v>
      </c>
      <c r="F155" s="5">
        <v>0</v>
      </c>
      <c r="G155" s="5">
        <v>0</v>
      </c>
      <c r="H155" s="5">
        <v>0</v>
      </c>
      <c r="I155" s="5">
        <v>0</v>
      </c>
      <c r="J155" s="5">
        <v>5778.44</v>
      </c>
      <c r="K155" s="5">
        <v>0</v>
      </c>
      <c r="L155" s="3">
        <v>5778.44</v>
      </c>
    </row>
    <row r="156" spans="1:12" x14ac:dyDescent="0.25">
      <c r="A156" s="5" t="s">
        <v>317</v>
      </c>
      <c r="B156" s="5" t="s">
        <v>46</v>
      </c>
      <c r="C156" s="5" t="s">
        <v>37</v>
      </c>
      <c r="D156" s="6" t="s">
        <v>38</v>
      </c>
      <c r="E156" s="5" t="s">
        <v>34</v>
      </c>
      <c r="F156" s="5">
        <v>0</v>
      </c>
      <c r="G156" s="5">
        <v>5612.53</v>
      </c>
      <c r="H156" s="5">
        <v>1.92</v>
      </c>
      <c r="I156" s="5">
        <v>0</v>
      </c>
      <c r="J156" s="5">
        <v>0</v>
      </c>
      <c r="K156" s="5">
        <v>0</v>
      </c>
      <c r="L156" s="3">
        <v>5614.45</v>
      </c>
    </row>
    <row r="157" spans="1:12" x14ac:dyDescent="0.25">
      <c r="A157" s="5" t="s">
        <v>211</v>
      </c>
      <c r="B157" s="5" t="s">
        <v>17</v>
      </c>
      <c r="C157" s="5" t="s">
        <v>14</v>
      </c>
      <c r="D157" s="6" t="s">
        <v>38</v>
      </c>
      <c r="E157" s="5" t="s">
        <v>41</v>
      </c>
      <c r="F157" s="5">
        <v>0</v>
      </c>
      <c r="G157" s="5">
        <v>0</v>
      </c>
      <c r="H157" s="5">
        <v>0</v>
      </c>
      <c r="I157" s="5">
        <v>0</v>
      </c>
      <c r="J157" s="5">
        <v>4880</v>
      </c>
      <c r="K157" s="5">
        <v>0</v>
      </c>
      <c r="L157" s="3">
        <v>4880</v>
      </c>
    </row>
    <row r="158" spans="1:12" x14ac:dyDescent="0.25">
      <c r="A158" s="5" t="s">
        <v>330</v>
      </c>
      <c r="B158" s="5" t="s">
        <v>46</v>
      </c>
      <c r="C158" s="5" t="s">
        <v>37</v>
      </c>
      <c r="D158" s="6" t="s">
        <v>38</v>
      </c>
      <c r="E158" s="5" t="s">
        <v>51</v>
      </c>
      <c r="F158" s="5">
        <v>0</v>
      </c>
      <c r="G158" s="5">
        <v>4662</v>
      </c>
      <c r="H158" s="5">
        <v>0</v>
      </c>
      <c r="I158" s="5">
        <v>0</v>
      </c>
      <c r="J158" s="5">
        <v>0</v>
      </c>
      <c r="K158" s="5">
        <v>0</v>
      </c>
      <c r="L158" s="3">
        <v>4662</v>
      </c>
    </row>
    <row r="159" spans="1:12" x14ac:dyDescent="0.25">
      <c r="A159" s="5" t="s">
        <v>213</v>
      </c>
      <c r="B159" s="5" t="s">
        <v>46</v>
      </c>
      <c r="C159" s="5" t="s">
        <v>37</v>
      </c>
      <c r="D159" s="6" t="s">
        <v>38</v>
      </c>
      <c r="E159" s="5" t="s">
        <v>127</v>
      </c>
      <c r="F159" s="5">
        <v>0</v>
      </c>
      <c r="G159" s="5">
        <v>0</v>
      </c>
      <c r="H159" s="5">
        <v>0</v>
      </c>
      <c r="I159" s="5">
        <v>0</v>
      </c>
      <c r="J159" s="5">
        <v>4564.09</v>
      </c>
      <c r="K159" s="5">
        <v>0</v>
      </c>
      <c r="L159" s="3">
        <v>4564.09</v>
      </c>
    </row>
    <row r="160" spans="1:12" x14ac:dyDescent="0.25">
      <c r="A160" s="5" t="s">
        <v>214</v>
      </c>
      <c r="B160" s="5" t="s">
        <v>46</v>
      </c>
      <c r="C160" s="5" t="s">
        <v>37</v>
      </c>
      <c r="D160" s="6" t="s">
        <v>38</v>
      </c>
      <c r="E160" s="5" t="s">
        <v>51</v>
      </c>
      <c r="F160" s="5">
        <v>0</v>
      </c>
      <c r="G160" s="5">
        <v>0</v>
      </c>
      <c r="H160" s="5">
        <v>0</v>
      </c>
      <c r="I160" s="5">
        <v>0</v>
      </c>
      <c r="J160" s="5">
        <v>4464.7</v>
      </c>
      <c r="K160" s="5">
        <v>0</v>
      </c>
      <c r="L160" s="3">
        <v>4464.7</v>
      </c>
    </row>
    <row r="161" spans="1:12" x14ac:dyDescent="0.25">
      <c r="A161" s="5" t="s">
        <v>217</v>
      </c>
      <c r="B161" s="5" t="s">
        <v>46</v>
      </c>
      <c r="C161" s="5" t="s">
        <v>37</v>
      </c>
      <c r="D161" s="6" t="s">
        <v>38</v>
      </c>
      <c r="E161" s="5" t="s">
        <v>51</v>
      </c>
      <c r="F161" s="5">
        <v>0</v>
      </c>
      <c r="G161" s="5">
        <v>0</v>
      </c>
      <c r="H161" s="5">
        <v>0</v>
      </c>
      <c r="I161" s="5">
        <v>0</v>
      </c>
      <c r="J161" s="5">
        <v>4300</v>
      </c>
      <c r="K161" s="5">
        <v>0</v>
      </c>
      <c r="L161" s="3">
        <v>4300</v>
      </c>
    </row>
    <row r="162" spans="1:12" x14ac:dyDescent="0.25">
      <c r="A162" s="5" t="s">
        <v>219</v>
      </c>
      <c r="B162" s="5" t="s">
        <v>46</v>
      </c>
      <c r="C162" s="5" t="s">
        <v>37</v>
      </c>
      <c r="D162" s="6" t="s">
        <v>38</v>
      </c>
      <c r="E162" s="5" t="s">
        <v>51</v>
      </c>
      <c r="F162" s="5">
        <v>0</v>
      </c>
      <c r="G162" s="5">
        <v>0</v>
      </c>
      <c r="H162" s="5">
        <v>0</v>
      </c>
      <c r="I162" s="5">
        <v>4072</v>
      </c>
      <c r="J162" s="5">
        <v>0</v>
      </c>
      <c r="K162" s="5">
        <v>0</v>
      </c>
      <c r="L162" s="3">
        <v>4072</v>
      </c>
    </row>
    <row r="163" spans="1:12" x14ac:dyDescent="0.25">
      <c r="A163" s="5" t="s">
        <v>221</v>
      </c>
      <c r="B163" s="5" t="s">
        <v>17</v>
      </c>
      <c r="C163" s="5" t="s">
        <v>18</v>
      </c>
      <c r="D163" s="6" t="s">
        <v>21</v>
      </c>
      <c r="E163" s="5" t="s">
        <v>15</v>
      </c>
      <c r="F163" s="5">
        <v>0</v>
      </c>
      <c r="G163" s="5">
        <v>0</v>
      </c>
      <c r="H163" s="5">
        <v>0</v>
      </c>
      <c r="I163" s="5">
        <v>0</v>
      </c>
      <c r="J163" s="5">
        <v>3826.2</v>
      </c>
      <c r="K163" s="5">
        <v>0</v>
      </c>
      <c r="L163" s="3">
        <v>3826.2</v>
      </c>
    </row>
    <row r="164" spans="1:12" x14ac:dyDescent="0.25">
      <c r="A164" s="5" t="s">
        <v>223</v>
      </c>
      <c r="B164" s="5" t="s">
        <v>46</v>
      </c>
      <c r="C164" s="5" t="s">
        <v>37</v>
      </c>
      <c r="D164" s="6" t="s">
        <v>38</v>
      </c>
      <c r="E164" s="5" t="s">
        <v>79</v>
      </c>
      <c r="F164" s="5">
        <v>0</v>
      </c>
      <c r="G164" s="5">
        <v>0</v>
      </c>
      <c r="H164" s="5">
        <v>0</v>
      </c>
      <c r="I164" s="5">
        <v>0</v>
      </c>
      <c r="J164" s="5">
        <v>3615.02</v>
      </c>
      <c r="K164" s="5">
        <v>0</v>
      </c>
      <c r="L164" s="3">
        <v>3615.02</v>
      </c>
    </row>
    <row r="165" spans="1:12" x14ac:dyDescent="0.25">
      <c r="A165" s="5" t="s">
        <v>314</v>
      </c>
      <c r="B165" s="5" t="s">
        <v>46</v>
      </c>
      <c r="C165" s="5" t="s">
        <v>37</v>
      </c>
      <c r="D165" s="6" t="s">
        <v>38</v>
      </c>
      <c r="E165" s="5" t="s">
        <v>127</v>
      </c>
      <c r="F165" s="5">
        <v>3570</v>
      </c>
      <c r="G165" s="5">
        <v>0</v>
      </c>
      <c r="H165" s="5">
        <v>0.51</v>
      </c>
      <c r="I165" s="5">
        <v>-0.51</v>
      </c>
      <c r="J165" s="5">
        <v>0</v>
      </c>
      <c r="K165" s="5">
        <v>0</v>
      </c>
      <c r="L165" s="3">
        <v>3570</v>
      </c>
    </row>
    <row r="166" spans="1:12" x14ac:dyDescent="0.25">
      <c r="A166" s="5" t="s">
        <v>224</v>
      </c>
      <c r="B166" s="5" t="s">
        <v>17</v>
      </c>
      <c r="C166" s="5" t="s">
        <v>37</v>
      </c>
      <c r="D166" s="6" t="s">
        <v>38</v>
      </c>
      <c r="E166" s="5" t="s">
        <v>15</v>
      </c>
      <c r="F166" s="5">
        <v>0</v>
      </c>
      <c r="G166" s="5">
        <v>0</v>
      </c>
      <c r="H166" s="5">
        <v>3480</v>
      </c>
      <c r="I166" s="5">
        <v>0</v>
      </c>
      <c r="J166" s="5">
        <v>0</v>
      </c>
      <c r="K166" s="5">
        <v>0</v>
      </c>
      <c r="L166" s="3">
        <v>3480</v>
      </c>
    </row>
    <row r="167" spans="1:12" x14ac:dyDescent="0.25">
      <c r="A167" s="5" t="s">
        <v>225</v>
      </c>
      <c r="B167" s="5" t="s">
        <v>46</v>
      </c>
      <c r="C167" s="5" t="s">
        <v>37</v>
      </c>
      <c r="D167" s="6" t="s">
        <v>38</v>
      </c>
      <c r="E167" s="5" t="s">
        <v>34</v>
      </c>
      <c r="F167" s="5">
        <v>0</v>
      </c>
      <c r="G167" s="5">
        <v>0</v>
      </c>
      <c r="H167" s="5">
        <v>0</v>
      </c>
      <c r="I167" s="5">
        <v>0</v>
      </c>
      <c r="J167" s="5">
        <v>3468.5</v>
      </c>
      <c r="K167" s="5">
        <v>0</v>
      </c>
      <c r="L167" s="3">
        <v>3468.5</v>
      </c>
    </row>
    <row r="168" spans="1:12" x14ac:dyDescent="0.25">
      <c r="A168" s="5" t="s">
        <v>227</v>
      </c>
      <c r="B168" s="5" t="s">
        <v>46</v>
      </c>
      <c r="C168" s="5" t="s">
        <v>37</v>
      </c>
      <c r="D168" s="6" t="s">
        <v>38</v>
      </c>
      <c r="E168" s="5" t="s">
        <v>181</v>
      </c>
      <c r="F168" s="5">
        <v>0</v>
      </c>
      <c r="G168" s="5">
        <v>3325</v>
      </c>
      <c r="H168" s="5">
        <v>0</v>
      </c>
      <c r="I168" s="5">
        <v>0</v>
      </c>
      <c r="J168" s="5">
        <v>0</v>
      </c>
      <c r="K168" s="5">
        <v>0</v>
      </c>
      <c r="L168" s="3">
        <v>3325</v>
      </c>
    </row>
    <row r="169" spans="1:12" x14ac:dyDescent="0.25">
      <c r="A169" s="5" t="s">
        <v>229</v>
      </c>
      <c r="B169" s="5" t="s">
        <v>46</v>
      </c>
      <c r="C169" s="5" t="s">
        <v>37</v>
      </c>
      <c r="D169" s="6" t="s">
        <v>38</v>
      </c>
      <c r="E169" s="5" t="s">
        <v>34</v>
      </c>
      <c r="F169" s="5">
        <v>0</v>
      </c>
      <c r="G169" s="5">
        <v>0</v>
      </c>
      <c r="H169" s="5">
        <v>0</v>
      </c>
      <c r="I169" s="5">
        <v>0</v>
      </c>
      <c r="J169" s="5">
        <v>3205</v>
      </c>
      <c r="K169" s="5">
        <v>0</v>
      </c>
      <c r="L169" s="3">
        <v>3205</v>
      </c>
    </row>
    <row r="170" spans="1:12" x14ac:dyDescent="0.25">
      <c r="A170" s="5" t="s">
        <v>315</v>
      </c>
      <c r="B170" s="5" t="s">
        <v>46</v>
      </c>
      <c r="C170" s="5" t="s">
        <v>37</v>
      </c>
      <c r="D170" s="6" t="s">
        <v>38</v>
      </c>
      <c r="E170" s="5" t="s">
        <v>79</v>
      </c>
      <c r="F170" s="5">
        <v>0</v>
      </c>
      <c r="G170" s="5">
        <v>3166</v>
      </c>
      <c r="H170" s="5">
        <v>1.5</v>
      </c>
      <c r="I170" s="5">
        <v>0</v>
      </c>
      <c r="J170" s="5">
        <v>0</v>
      </c>
      <c r="K170" s="5">
        <v>0</v>
      </c>
      <c r="L170" s="3">
        <v>3167.5</v>
      </c>
    </row>
    <row r="171" spans="1:12" x14ac:dyDescent="0.25">
      <c r="A171" s="5" t="s">
        <v>318</v>
      </c>
      <c r="B171" s="5" t="s">
        <v>46</v>
      </c>
      <c r="C171" s="5"/>
      <c r="D171" s="6" t="s">
        <v>38</v>
      </c>
      <c r="E171" s="5"/>
      <c r="F171" s="5">
        <v>0</v>
      </c>
      <c r="G171" s="5">
        <v>3140</v>
      </c>
      <c r="H171" s="5">
        <v>0</v>
      </c>
      <c r="I171" s="5">
        <v>0</v>
      </c>
      <c r="J171" s="5">
        <v>0</v>
      </c>
      <c r="K171" s="5">
        <v>0</v>
      </c>
      <c r="L171" s="3">
        <v>3140</v>
      </c>
    </row>
    <row r="172" spans="1:12" x14ac:dyDescent="0.25">
      <c r="A172" s="5" t="s">
        <v>231</v>
      </c>
      <c r="B172" s="5" t="s">
        <v>46</v>
      </c>
      <c r="C172" s="5" t="s">
        <v>18</v>
      </c>
      <c r="D172" s="6" t="s">
        <v>31</v>
      </c>
      <c r="E172" s="5" t="s">
        <v>51</v>
      </c>
      <c r="F172" s="5">
        <v>0</v>
      </c>
      <c r="G172" s="5">
        <v>0</v>
      </c>
      <c r="H172" s="5">
        <v>0</v>
      </c>
      <c r="I172" s="5">
        <v>0</v>
      </c>
      <c r="J172" s="5">
        <v>2794.66</v>
      </c>
      <c r="K172" s="5">
        <v>0</v>
      </c>
      <c r="L172" s="3">
        <v>2794.66</v>
      </c>
    </row>
    <row r="173" spans="1:12" x14ac:dyDescent="0.25">
      <c r="A173" s="5" t="s">
        <v>232</v>
      </c>
      <c r="B173" s="5" t="s">
        <v>46</v>
      </c>
      <c r="C173" s="5" t="s">
        <v>37</v>
      </c>
      <c r="D173" s="6" t="s">
        <v>38</v>
      </c>
      <c r="E173" s="5" t="s">
        <v>127</v>
      </c>
      <c r="F173" s="5">
        <v>0</v>
      </c>
      <c r="G173" s="5">
        <v>2625</v>
      </c>
      <c r="H173" s="5">
        <v>0</v>
      </c>
      <c r="I173" s="5">
        <v>0</v>
      </c>
      <c r="J173" s="5">
        <v>0</v>
      </c>
      <c r="K173" s="5">
        <v>0</v>
      </c>
      <c r="L173" s="3">
        <v>2625</v>
      </c>
    </row>
    <row r="174" spans="1:12" x14ac:dyDescent="0.25">
      <c r="A174" s="5" t="s">
        <v>103</v>
      </c>
      <c r="B174" s="5" t="s">
        <v>17</v>
      </c>
      <c r="C174" s="5" t="s">
        <v>18</v>
      </c>
      <c r="D174" s="6" t="s">
        <v>19</v>
      </c>
      <c r="E174" s="5" t="s">
        <v>15</v>
      </c>
      <c r="F174" s="5">
        <v>0</v>
      </c>
      <c r="G174" s="5">
        <v>2489.7600000000002</v>
      </c>
      <c r="H174" s="5">
        <v>0</v>
      </c>
      <c r="I174" s="5">
        <v>0</v>
      </c>
      <c r="J174" s="5">
        <v>0</v>
      </c>
      <c r="K174" s="5">
        <v>0</v>
      </c>
      <c r="L174" s="3">
        <v>2489.7600000000002</v>
      </c>
    </row>
    <row r="175" spans="1:12" x14ac:dyDescent="0.25">
      <c r="A175" s="5" t="s">
        <v>233</v>
      </c>
      <c r="B175" s="5" t="s">
        <v>46</v>
      </c>
      <c r="C175" s="5" t="s">
        <v>37</v>
      </c>
      <c r="D175" s="6" t="s">
        <v>38</v>
      </c>
      <c r="E175" s="5" t="s">
        <v>51</v>
      </c>
      <c r="F175" s="5">
        <v>0</v>
      </c>
      <c r="G175" s="5">
        <v>0</v>
      </c>
      <c r="H175" s="5">
        <v>0</v>
      </c>
      <c r="I175" s="5">
        <v>0</v>
      </c>
      <c r="J175" s="5">
        <v>2433.39</v>
      </c>
      <c r="K175" s="5">
        <v>0</v>
      </c>
      <c r="L175" s="3">
        <v>2433.39</v>
      </c>
    </row>
    <row r="176" spans="1:12" x14ac:dyDescent="0.25">
      <c r="A176" s="5" t="s">
        <v>235</v>
      </c>
      <c r="B176" s="5" t="s">
        <v>46</v>
      </c>
      <c r="C176" s="5" t="s">
        <v>37</v>
      </c>
      <c r="D176" s="6" t="s">
        <v>38</v>
      </c>
      <c r="E176" s="5" t="s">
        <v>181</v>
      </c>
      <c r="F176" s="5">
        <v>0</v>
      </c>
      <c r="G176" s="5">
        <v>0</v>
      </c>
      <c r="H176" s="5">
        <v>0</v>
      </c>
      <c r="I176" s="5">
        <v>0</v>
      </c>
      <c r="J176" s="5">
        <v>2180.4899999999998</v>
      </c>
      <c r="K176" s="5">
        <v>0</v>
      </c>
      <c r="L176" s="3">
        <v>2180.4899999999998</v>
      </c>
    </row>
    <row r="177" spans="1:12" x14ac:dyDescent="0.25">
      <c r="A177" s="5" t="s">
        <v>236</v>
      </c>
      <c r="B177" s="5" t="s">
        <v>46</v>
      </c>
      <c r="C177" s="5" t="s">
        <v>37</v>
      </c>
      <c r="D177" s="6" t="s">
        <v>38</v>
      </c>
      <c r="E177" s="5" t="s">
        <v>51</v>
      </c>
      <c r="F177" s="5">
        <v>0</v>
      </c>
      <c r="G177" s="5">
        <v>0</v>
      </c>
      <c r="H177" s="5">
        <v>0</v>
      </c>
      <c r="I177" s="5">
        <v>0</v>
      </c>
      <c r="J177" s="5">
        <v>2041</v>
      </c>
      <c r="K177" s="5">
        <v>0</v>
      </c>
      <c r="L177" s="3">
        <v>2041</v>
      </c>
    </row>
    <row r="178" spans="1:12" x14ac:dyDescent="0.25">
      <c r="A178" s="5" t="s">
        <v>238</v>
      </c>
      <c r="B178" s="5" t="s">
        <v>46</v>
      </c>
      <c r="C178" s="5" t="s">
        <v>37</v>
      </c>
      <c r="D178" s="6" t="s">
        <v>38</v>
      </c>
      <c r="E178" s="5" t="s">
        <v>127</v>
      </c>
      <c r="F178" s="5">
        <v>0</v>
      </c>
      <c r="G178" s="5">
        <v>0</v>
      </c>
      <c r="H178" s="5">
        <v>0</v>
      </c>
      <c r="I178" s="5">
        <v>0</v>
      </c>
      <c r="J178" s="5">
        <v>1698.72</v>
      </c>
      <c r="K178" s="5">
        <v>0</v>
      </c>
      <c r="L178" s="3">
        <v>1698.72</v>
      </c>
    </row>
    <row r="179" spans="1:12" x14ac:dyDescent="0.25">
      <c r="A179" s="5" t="s">
        <v>239</v>
      </c>
      <c r="B179" s="5" t="s">
        <v>46</v>
      </c>
      <c r="C179" s="5" t="s">
        <v>37</v>
      </c>
      <c r="D179" s="6" t="s">
        <v>38</v>
      </c>
      <c r="E179" s="5" t="s">
        <v>48</v>
      </c>
      <c r="F179" s="5">
        <v>0</v>
      </c>
      <c r="G179" s="5">
        <v>1626.5</v>
      </c>
      <c r="H179" s="5">
        <v>0</v>
      </c>
      <c r="I179" s="5">
        <v>0</v>
      </c>
      <c r="J179" s="5">
        <v>0</v>
      </c>
      <c r="K179" s="5">
        <v>0</v>
      </c>
      <c r="L179" s="3">
        <v>1626.5</v>
      </c>
    </row>
    <row r="180" spans="1:12" x14ac:dyDescent="0.25">
      <c r="A180" s="5" t="s">
        <v>240</v>
      </c>
      <c r="B180" s="5" t="s">
        <v>46</v>
      </c>
      <c r="C180" s="5" t="s">
        <v>37</v>
      </c>
      <c r="D180" s="6" t="s">
        <v>38</v>
      </c>
      <c r="E180" s="5" t="s">
        <v>48</v>
      </c>
      <c r="F180" s="5">
        <v>0</v>
      </c>
      <c r="G180" s="5">
        <v>1606.11</v>
      </c>
      <c r="H180" s="5">
        <v>0</v>
      </c>
      <c r="I180" s="5">
        <v>0</v>
      </c>
      <c r="J180" s="5">
        <v>1</v>
      </c>
      <c r="K180" s="5">
        <v>0</v>
      </c>
      <c r="L180" s="3">
        <v>1607.11</v>
      </c>
    </row>
    <row r="181" spans="1:12" x14ac:dyDescent="0.25">
      <c r="A181" s="5" t="s">
        <v>241</v>
      </c>
      <c r="B181" s="5" t="s">
        <v>46</v>
      </c>
      <c r="C181" s="5" t="s">
        <v>37</v>
      </c>
      <c r="D181" s="6" t="s">
        <v>38</v>
      </c>
      <c r="E181" s="5" t="s">
        <v>48</v>
      </c>
      <c r="F181" s="5">
        <v>0</v>
      </c>
      <c r="G181" s="5">
        <v>64.010000000000005</v>
      </c>
      <c r="H181" s="5">
        <v>1500</v>
      </c>
      <c r="I181" s="5">
        <v>0</v>
      </c>
      <c r="J181" s="5">
        <v>0</v>
      </c>
      <c r="K181" s="5">
        <v>0</v>
      </c>
      <c r="L181" s="3">
        <v>1564.01</v>
      </c>
    </row>
    <row r="182" spans="1:12" x14ac:dyDescent="0.25">
      <c r="A182" s="5" t="s">
        <v>242</v>
      </c>
      <c r="B182" s="5" t="s">
        <v>46</v>
      </c>
      <c r="C182" s="5" t="s">
        <v>18</v>
      </c>
      <c r="D182" s="6" t="s">
        <v>19</v>
      </c>
      <c r="E182" s="5" t="s">
        <v>127</v>
      </c>
      <c r="F182" s="5">
        <v>0</v>
      </c>
      <c r="G182" s="5">
        <v>0</v>
      </c>
      <c r="H182" s="5">
        <v>0</v>
      </c>
      <c r="I182" s="5">
        <v>0</v>
      </c>
      <c r="J182" s="5">
        <v>1500</v>
      </c>
      <c r="K182" s="5">
        <v>0</v>
      </c>
      <c r="L182" s="3">
        <v>1500</v>
      </c>
    </row>
    <row r="183" spans="1:12" x14ac:dyDescent="0.25">
      <c r="A183" s="5" t="s">
        <v>243</v>
      </c>
      <c r="B183" s="5" t="s">
        <v>46</v>
      </c>
      <c r="C183" s="5" t="s">
        <v>37</v>
      </c>
      <c r="D183" s="6" t="s">
        <v>38</v>
      </c>
      <c r="E183" s="5" t="s">
        <v>34</v>
      </c>
      <c r="F183" s="5">
        <v>0</v>
      </c>
      <c r="G183" s="5">
        <v>0</v>
      </c>
      <c r="H183" s="5">
        <v>0</v>
      </c>
      <c r="I183" s="5">
        <v>0</v>
      </c>
      <c r="J183" s="5">
        <v>1500</v>
      </c>
      <c r="K183" s="5">
        <v>0</v>
      </c>
      <c r="L183" s="3">
        <v>1500</v>
      </c>
    </row>
    <row r="184" spans="1:12" x14ac:dyDescent="0.25">
      <c r="A184" s="5" t="s">
        <v>244</v>
      </c>
      <c r="B184" s="5" t="s">
        <v>17</v>
      </c>
      <c r="C184" s="5" t="s">
        <v>37</v>
      </c>
      <c r="D184" s="6" t="s">
        <v>38</v>
      </c>
      <c r="E184" s="5" t="s">
        <v>15</v>
      </c>
      <c r="F184" s="5">
        <v>0</v>
      </c>
      <c r="G184" s="5">
        <v>0.8</v>
      </c>
      <c r="H184" s="5">
        <v>1326.03</v>
      </c>
      <c r="I184" s="5">
        <v>0</v>
      </c>
      <c r="J184" s="5">
        <v>0</v>
      </c>
      <c r="K184" s="5">
        <v>0</v>
      </c>
      <c r="L184" s="3">
        <v>1326.83</v>
      </c>
    </row>
    <row r="185" spans="1:12" x14ac:dyDescent="0.25">
      <c r="A185" s="5" t="s">
        <v>245</v>
      </c>
      <c r="B185" s="5" t="s">
        <v>46</v>
      </c>
      <c r="C185" s="5" t="s">
        <v>37</v>
      </c>
      <c r="D185" s="6" t="s">
        <v>38</v>
      </c>
      <c r="E185" s="5" t="s">
        <v>79</v>
      </c>
      <c r="F185" s="5">
        <v>0</v>
      </c>
      <c r="G185" s="5">
        <v>0</v>
      </c>
      <c r="H185" s="5">
        <v>0</v>
      </c>
      <c r="I185" s="5">
        <v>0</v>
      </c>
      <c r="J185" s="5"/>
      <c r="K185" s="5">
        <v>1242</v>
      </c>
      <c r="L185" s="3">
        <v>1242</v>
      </c>
    </row>
    <row r="186" spans="1:12" x14ac:dyDescent="0.25">
      <c r="A186" s="5" t="s">
        <v>246</v>
      </c>
      <c r="B186" s="5" t="s">
        <v>46</v>
      </c>
      <c r="C186" s="5" t="s">
        <v>37</v>
      </c>
      <c r="D186" s="6" t="s">
        <v>38</v>
      </c>
      <c r="E186" s="5" t="s">
        <v>127</v>
      </c>
      <c r="F186" s="5">
        <v>0</v>
      </c>
      <c r="G186" s="5">
        <v>0</v>
      </c>
      <c r="H186" s="5">
        <v>1232.75</v>
      </c>
      <c r="I186" s="5">
        <v>0.25</v>
      </c>
      <c r="J186" s="5">
        <v>-0.25</v>
      </c>
      <c r="K186" s="5">
        <v>0</v>
      </c>
      <c r="L186" s="3">
        <v>1232.75</v>
      </c>
    </row>
    <row r="187" spans="1:12" x14ac:dyDescent="0.25">
      <c r="A187" s="5" t="s">
        <v>247</v>
      </c>
      <c r="B187" s="5" t="s">
        <v>46</v>
      </c>
      <c r="C187" s="5" t="s">
        <v>37</v>
      </c>
      <c r="D187" s="6" t="s">
        <v>38</v>
      </c>
      <c r="E187" s="5" t="s">
        <v>34</v>
      </c>
      <c r="F187" s="5">
        <v>0</v>
      </c>
      <c r="G187" s="5">
        <v>0</v>
      </c>
      <c r="H187" s="5">
        <v>0</v>
      </c>
      <c r="I187" s="5">
        <v>0</v>
      </c>
      <c r="J187" s="5">
        <v>1152.67</v>
      </c>
      <c r="K187" s="5">
        <v>0</v>
      </c>
      <c r="L187" s="3">
        <v>1152.67</v>
      </c>
    </row>
    <row r="188" spans="1:12" x14ac:dyDescent="0.25">
      <c r="A188" s="5" t="s">
        <v>248</v>
      </c>
      <c r="B188" s="5" t="s">
        <v>46</v>
      </c>
      <c r="C188" s="5" t="s">
        <v>37</v>
      </c>
      <c r="D188" s="6" t="s">
        <v>38</v>
      </c>
      <c r="E188" s="5" t="s">
        <v>51</v>
      </c>
      <c r="F188" s="5">
        <v>0</v>
      </c>
      <c r="G188" s="5">
        <v>0</v>
      </c>
      <c r="H188" s="5">
        <v>-1.27</v>
      </c>
      <c r="I188" s="5">
        <v>1127.1500000000001</v>
      </c>
      <c r="J188" s="5">
        <v>0</v>
      </c>
      <c r="K188" s="5">
        <v>0</v>
      </c>
      <c r="L188" s="3">
        <v>1125.8800000000001</v>
      </c>
    </row>
    <row r="189" spans="1:12" x14ac:dyDescent="0.25">
      <c r="A189" s="5" t="s">
        <v>249</v>
      </c>
      <c r="B189" s="5" t="s">
        <v>46</v>
      </c>
      <c r="C189" s="5" t="s">
        <v>37</v>
      </c>
      <c r="D189" s="6" t="s">
        <v>38</v>
      </c>
      <c r="E189" s="5" t="s">
        <v>51</v>
      </c>
      <c r="F189" s="5">
        <v>0</v>
      </c>
      <c r="G189" s="5">
        <v>0</v>
      </c>
      <c r="H189" s="5">
        <v>0</v>
      </c>
      <c r="I189" s="5">
        <v>0</v>
      </c>
      <c r="J189" s="5">
        <v>1017.43</v>
      </c>
      <c r="K189" s="5">
        <v>0</v>
      </c>
      <c r="L189" s="3">
        <v>1017.43</v>
      </c>
    </row>
    <row r="190" spans="1:12" x14ac:dyDescent="0.25">
      <c r="A190" s="5" t="s">
        <v>250</v>
      </c>
      <c r="B190" s="5" t="s">
        <v>17</v>
      </c>
      <c r="C190" s="5" t="s">
        <v>18</v>
      </c>
      <c r="D190" s="6" t="s">
        <v>31</v>
      </c>
      <c r="E190" s="5" t="s">
        <v>15</v>
      </c>
      <c r="F190" s="5">
        <v>0</v>
      </c>
      <c r="G190" s="5">
        <v>0</v>
      </c>
      <c r="H190" s="5">
        <v>0</v>
      </c>
      <c r="I190" s="5">
        <v>0</v>
      </c>
      <c r="J190" s="5">
        <v>1003.26</v>
      </c>
      <c r="K190" s="5">
        <v>0</v>
      </c>
      <c r="L190" s="3">
        <v>1003.26</v>
      </c>
    </row>
    <row r="191" spans="1:12" x14ac:dyDescent="0.25">
      <c r="A191" s="5" t="s">
        <v>252</v>
      </c>
      <c r="B191" s="5" t="s">
        <v>46</v>
      </c>
      <c r="C191" s="5" t="s">
        <v>37</v>
      </c>
      <c r="D191" s="6" t="s">
        <v>38</v>
      </c>
      <c r="E191" s="5" t="s">
        <v>127</v>
      </c>
      <c r="F191" s="5">
        <v>0</v>
      </c>
      <c r="G191" s="5">
        <v>0</v>
      </c>
      <c r="H191" s="5">
        <v>0</v>
      </c>
      <c r="I191" s="5">
        <v>0</v>
      </c>
      <c r="J191" s="5">
        <v>820</v>
      </c>
      <c r="K191" s="5">
        <v>0</v>
      </c>
      <c r="L191" s="3">
        <v>820</v>
      </c>
    </row>
    <row r="192" spans="1:12" x14ac:dyDescent="0.25">
      <c r="A192" s="5" t="s">
        <v>253</v>
      </c>
      <c r="B192" s="5" t="s">
        <v>46</v>
      </c>
      <c r="C192" s="5" t="s">
        <v>37</v>
      </c>
      <c r="D192" s="6" t="s">
        <v>38</v>
      </c>
      <c r="E192" s="5" t="s">
        <v>127</v>
      </c>
      <c r="F192" s="5">
        <v>0</v>
      </c>
      <c r="G192" s="5">
        <v>0</v>
      </c>
      <c r="H192" s="5">
        <v>652.76</v>
      </c>
      <c r="I192" s="5">
        <v>0</v>
      </c>
      <c r="J192" s="5">
        <v>0</v>
      </c>
      <c r="K192" s="5">
        <v>0</v>
      </c>
      <c r="L192" s="3">
        <v>652.76</v>
      </c>
    </row>
    <row r="193" spans="1:12" x14ac:dyDescent="0.25">
      <c r="A193" s="5" t="s">
        <v>254</v>
      </c>
      <c r="B193" s="5" t="s">
        <v>17</v>
      </c>
      <c r="C193" s="5" t="s">
        <v>37</v>
      </c>
      <c r="D193" s="6" t="s">
        <v>38</v>
      </c>
      <c r="E193" s="5" t="s">
        <v>15</v>
      </c>
      <c r="F193" s="5">
        <v>0</v>
      </c>
      <c r="G193" s="5">
        <v>0</v>
      </c>
      <c r="H193" s="5">
        <v>0</v>
      </c>
      <c r="I193" s="5">
        <v>486</v>
      </c>
      <c r="J193" s="5">
        <v>149</v>
      </c>
      <c r="K193" s="5">
        <v>0</v>
      </c>
      <c r="L193" s="3">
        <v>635</v>
      </c>
    </row>
    <row r="194" spans="1:12" x14ac:dyDescent="0.25">
      <c r="A194" s="5" t="s">
        <v>255</v>
      </c>
      <c r="B194" s="5" t="s">
        <v>46</v>
      </c>
      <c r="C194" s="5" t="s">
        <v>37</v>
      </c>
      <c r="D194" s="6" t="s">
        <v>38</v>
      </c>
      <c r="E194" s="5" t="s">
        <v>127</v>
      </c>
      <c r="F194" s="5">
        <v>0</v>
      </c>
      <c r="G194" s="5">
        <v>0</v>
      </c>
      <c r="H194" s="5">
        <v>0</v>
      </c>
      <c r="I194" s="5">
        <v>0</v>
      </c>
      <c r="J194" s="5">
        <v>622.5</v>
      </c>
      <c r="K194" s="5">
        <v>0</v>
      </c>
      <c r="L194" s="3">
        <v>622.5</v>
      </c>
    </row>
    <row r="195" spans="1:12" x14ac:dyDescent="0.25">
      <c r="A195" s="5" t="s">
        <v>193</v>
      </c>
      <c r="B195" s="5" t="s">
        <v>17</v>
      </c>
      <c r="C195" s="5" t="s">
        <v>37</v>
      </c>
      <c r="D195" s="6" t="s">
        <v>38</v>
      </c>
      <c r="E195" s="5" t="s">
        <v>15</v>
      </c>
      <c r="F195" s="5">
        <v>0</v>
      </c>
      <c r="G195" s="5">
        <v>400</v>
      </c>
      <c r="H195" s="5">
        <v>0</v>
      </c>
      <c r="I195" s="5">
        <v>142</v>
      </c>
      <c r="J195" s="5">
        <v>0</v>
      </c>
      <c r="K195" s="5">
        <v>0</v>
      </c>
      <c r="L195" s="3">
        <v>542</v>
      </c>
    </row>
    <row r="196" spans="1:12" x14ac:dyDescent="0.25">
      <c r="A196" s="5" t="s">
        <v>256</v>
      </c>
      <c r="B196" s="5" t="s">
        <v>46</v>
      </c>
      <c r="C196" s="5" t="s">
        <v>37</v>
      </c>
      <c r="D196" s="6" t="s">
        <v>38</v>
      </c>
      <c r="E196" s="5" t="s">
        <v>127</v>
      </c>
      <c r="F196" s="5">
        <v>0</v>
      </c>
      <c r="G196" s="5">
        <v>0</v>
      </c>
      <c r="H196" s="5">
        <v>520</v>
      </c>
      <c r="I196" s="5">
        <v>0</v>
      </c>
      <c r="J196" s="5">
        <v>0</v>
      </c>
      <c r="K196" s="5">
        <v>0</v>
      </c>
      <c r="L196" s="3">
        <v>520</v>
      </c>
    </row>
    <row r="197" spans="1:12" x14ac:dyDescent="0.25">
      <c r="A197" s="5" t="s">
        <v>140</v>
      </c>
      <c r="B197" s="5" t="s">
        <v>46</v>
      </c>
      <c r="C197" s="5" t="s">
        <v>37</v>
      </c>
      <c r="D197" s="6" t="s">
        <v>38</v>
      </c>
      <c r="E197" s="5" t="s">
        <v>48</v>
      </c>
      <c r="F197" s="5">
        <v>0</v>
      </c>
      <c r="G197" s="5">
        <v>457.2</v>
      </c>
      <c r="H197" s="5">
        <v>0</v>
      </c>
      <c r="I197" s="5">
        <v>0</v>
      </c>
      <c r="J197" s="5">
        <v>0</v>
      </c>
      <c r="K197" s="5">
        <v>0</v>
      </c>
      <c r="L197" s="3">
        <v>457.2</v>
      </c>
    </row>
    <row r="198" spans="1:12" x14ac:dyDescent="0.25">
      <c r="A198" s="5" t="s">
        <v>258</v>
      </c>
      <c r="B198" s="5" t="s">
        <v>17</v>
      </c>
      <c r="C198" s="5" t="s">
        <v>14</v>
      </c>
      <c r="D198" s="6">
        <v>0</v>
      </c>
      <c r="E198" s="5" t="s">
        <v>41</v>
      </c>
      <c r="F198" s="5">
        <v>0</v>
      </c>
      <c r="G198" s="5">
        <v>0</v>
      </c>
      <c r="H198" s="5">
        <v>0</v>
      </c>
      <c r="I198" s="5">
        <v>0</v>
      </c>
      <c r="J198" s="5">
        <v>454</v>
      </c>
      <c r="K198" s="5">
        <v>0</v>
      </c>
      <c r="L198" s="3">
        <v>454</v>
      </c>
    </row>
    <row r="199" spans="1:12" x14ac:dyDescent="0.25">
      <c r="A199" s="5" t="s">
        <v>260</v>
      </c>
      <c r="B199" s="5" t="s">
        <v>46</v>
      </c>
      <c r="C199" s="5" t="s">
        <v>37</v>
      </c>
      <c r="D199" s="6" t="s">
        <v>38</v>
      </c>
      <c r="E199" s="5" t="s">
        <v>51</v>
      </c>
      <c r="F199" s="5">
        <v>0</v>
      </c>
      <c r="G199" s="5">
        <v>435</v>
      </c>
      <c r="H199" s="5">
        <v>0</v>
      </c>
      <c r="I199" s="5">
        <v>0</v>
      </c>
      <c r="J199" s="5">
        <v>0</v>
      </c>
      <c r="K199" s="5">
        <v>0</v>
      </c>
      <c r="L199" s="3">
        <v>435</v>
      </c>
    </row>
    <row r="200" spans="1:12" x14ac:dyDescent="0.25">
      <c r="A200" s="5" t="s">
        <v>261</v>
      </c>
      <c r="B200" s="5" t="s">
        <v>46</v>
      </c>
      <c r="C200" s="5" t="s">
        <v>37</v>
      </c>
      <c r="D200" s="6" t="s">
        <v>38</v>
      </c>
      <c r="E200" s="5" t="s">
        <v>34</v>
      </c>
      <c r="F200" s="5">
        <v>0</v>
      </c>
      <c r="G200" s="5">
        <v>435</v>
      </c>
      <c r="H200" s="5">
        <v>0</v>
      </c>
      <c r="I200" s="5">
        <v>0</v>
      </c>
      <c r="J200" s="5">
        <v>0</v>
      </c>
      <c r="K200" s="5">
        <v>0</v>
      </c>
      <c r="L200" s="3">
        <v>435</v>
      </c>
    </row>
    <row r="201" spans="1:12" x14ac:dyDescent="0.25">
      <c r="A201" s="5" t="s">
        <v>262</v>
      </c>
      <c r="B201" s="5" t="s">
        <v>46</v>
      </c>
      <c r="C201" s="5" t="s">
        <v>37</v>
      </c>
      <c r="D201" s="6" t="s">
        <v>38</v>
      </c>
      <c r="E201" s="5" t="s">
        <v>127</v>
      </c>
      <c r="F201" s="5">
        <v>0</v>
      </c>
      <c r="G201" s="5">
        <v>0</v>
      </c>
      <c r="H201" s="5">
        <v>0</v>
      </c>
      <c r="I201" s="5">
        <v>0</v>
      </c>
      <c r="J201" s="5">
        <v>365</v>
      </c>
      <c r="K201" s="5">
        <v>0</v>
      </c>
      <c r="L201" s="3">
        <v>365</v>
      </c>
    </row>
    <row r="202" spans="1:12" x14ac:dyDescent="0.25">
      <c r="A202" s="5" t="s">
        <v>312</v>
      </c>
      <c r="B202" s="5" t="s">
        <v>46</v>
      </c>
      <c r="C202" s="5" t="s">
        <v>37</v>
      </c>
      <c r="D202" s="6" t="s">
        <v>38</v>
      </c>
      <c r="E202" s="5" t="s">
        <v>127</v>
      </c>
      <c r="F202" s="5">
        <v>0</v>
      </c>
      <c r="G202" s="5">
        <v>348</v>
      </c>
      <c r="H202" s="5">
        <v>0</v>
      </c>
      <c r="I202" s="5">
        <v>0</v>
      </c>
      <c r="J202" s="5">
        <v>0</v>
      </c>
      <c r="K202" s="5">
        <v>0</v>
      </c>
      <c r="L202" s="3">
        <v>348</v>
      </c>
    </row>
    <row r="203" spans="1:12" x14ac:dyDescent="0.25">
      <c r="A203" s="5" t="s">
        <v>263</v>
      </c>
      <c r="B203" s="5" t="s">
        <v>46</v>
      </c>
      <c r="C203" s="5" t="s">
        <v>37</v>
      </c>
      <c r="D203" s="6" t="s">
        <v>38</v>
      </c>
      <c r="E203" s="5" t="s">
        <v>34</v>
      </c>
      <c r="F203" s="5">
        <v>0</v>
      </c>
      <c r="G203" s="5">
        <v>325.36</v>
      </c>
      <c r="H203" s="5">
        <v>0</v>
      </c>
      <c r="I203" s="5">
        <v>0</v>
      </c>
      <c r="J203" s="5">
        <v>0</v>
      </c>
      <c r="K203" s="5">
        <v>0</v>
      </c>
      <c r="L203" s="3">
        <v>325.36</v>
      </c>
    </row>
    <row r="204" spans="1:12" x14ac:dyDescent="0.25">
      <c r="A204" s="5" t="s">
        <v>264</v>
      </c>
      <c r="B204" s="5" t="s">
        <v>46</v>
      </c>
      <c r="C204" s="5" t="s">
        <v>37</v>
      </c>
      <c r="D204" s="6" t="s">
        <v>38</v>
      </c>
      <c r="E204" s="5" t="s">
        <v>48</v>
      </c>
      <c r="F204" s="5">
        <v>0</v>
      </c>
      <c r="G204" s="5">
        <v>-5.72</v>
      </c>
      <c r="H204" s="5">
        <v>296.72000000000003</v>
      </c>
      <c r="I204" s="5">
        <v>0</v>
      </c>
      <c r="J204" s="5">
        <v>0</v>
      </c>
      <c r="K204" s="5">
        <v>0</v>
      </c>
      <c r="L204" s="3">
        <v>291</v>
      </c>
    </row>
    <row r="205" spans="1:12" x14ac:dyDescent="0.25">
      <c r="A205" s="5" t="s">
        <v>201</v>
      </c>
      <c r="B205" s="5" t="s">
        <v>46</v>
      </c>
      <c r="C205" s="5" t="s">
        <v>37</v>
      </c>
      <c r="D205" s="6" t="s">
        <v>38</v>
      </c>
      <c r="E205" s="5" t="s">
        <v>51</v>
      </c>
      <c r="F205" s="5">
        <v>0</v>
      </c>
      <c r="G205" s="5">
        <v>50</v>
      </c>
      <c r="H205" s="5">
        <v>0</v>
      </c>
      <c r="I205" s="5">
        <v>0</v>
      </c>
      <c r="J205" s="5">
        <v>235</v>
      </c>
      <c r="K205" s="5">
        <v>0</v>
      </c>
      <c r="L205" s="3">
        <v>285</v>
      </c>
    </row>
    <row r="206" spans="1:12" x14ac:dyDescent="0.25">
      <c r="A206" s="5" t="s">
        <v>265</v>
      </c>
      <c r="B206" s="5" t="s">
        <v>46</v>
      </c>
      <c r="C206" s="5" t="s">
        <v>37</v>
      </c>
      <c r="D206" s="6" t="s">
        <v>38</v>
      </c>
      <c r="E206" s="5" t="s">
        <v>127</v>
      </c>
      <c r="F206" s="5">
        <v>0</v>
      </c>
      <c r="G206" s="5">
        <v>0</v>
      </c>
      <c r="H206" s="5">
        <v>0</v>
      </c>
      <c r="I206" s="5">
        <v>281.5</v>
      </c>
      <c r="J206" s="5">
        <v>0</v>
      </c>
      <c r="K206" s="5">
        <v>0</v>
      </c>
      <c r="L206" s="3">
        <v>281.5</v>
      </c>
    </row>
    <row r="207" spans="1:12" x14ac:dyDescent="0.25">
      <c r="A207" s="5" t="s">
        <v>266</v>
      </c>
      <c r="B207" s="5" t="s">
        <v>46</v>
      </c>
      <c r="C207" s="5" t="s">
        <v>37</v>
      </c>
      <c r="D207" s="6" t="s">
        <v>38</v>
      </c>
      <c r="E207" s="5" t="s">
        <v>79</v>
      </c>
      <c r="F207" s="5">
        <v>0</v>
      </c>
      <c r="G207" s="5">
        <v>0</v>
      </c>
      <c r="H207" s="5">
        <v>246</v>
      </c>
      <c r="I207" s="5">
        <v>-55.48</v>
      </c>
      <c r="J207" s="5">
        <v>0</v>
      </c>
      <c r="K207" s="5">
        <v>0</v>
      </c>
      <c r="L207" s="3">
        <v>190.52</v>
      </c>
    </row>
    <row r="208" spans="1:12" x14ac:dyDescent="0.25">
      <c r="A208" s="5" t="s">
        <v>268</v>
      </c>
      <c r="B208" s="5" t="s">
        <v>46</v>
      </c>
      <c r="C208" s="5" t="s">
        <v>37</v>
      </c>
      <c r="D208" s="6" t="s">
        <v>38</v>
      </c>
      <c r="E208" s="5" t="s">
        <v>127</v>
      </c>
      <c r="F208" s="5">
        <v>0</v>
      </c>
      <c r="G208" s="5">
        <v>-199.4</v>
      </c>
      <c r="H208" s="5">
        <v>0</v>
      </c>
      <c r="I208" s="5">
        <v>0</v>
      </c>
      <c r="J208" s="5">
        <v>0</v>
      </c>
      <c r="K208" s="5">
        <v>0</v>
      </c>
      <c r="L208" s="3">
        <v>-199.4</v>
      </c>
    </row>
    <row r="209" spans="1:12" x14ac:dyDescent="0.25">
      <c r="A209" s="5" t="s">
        <v>207</v>
      </c>
      <c r="B209" s="5" t="s">
        <v>46</v>
      </c>
      <c r="C209" s="5" t="s">
        <v>37</v>
      </c>
      <c r="D209" s="6" t="s">
        <v>38</v>
      </c>
      <c r="E209" s="5" t="s">
        <v>181</v>
      </c>
      <c r="F209" s="5">
        <v>0</v>
      </c>
      <c r="G209" s="5">
        <v>0</v>
      </c>
      <c r="H209" s="5">
        <v>-224.45</v>
      </c>
      <c r="I209" s="5">
        <v>0</v>
      </c>
      <c r="J209" s="5">
        <v>0</v>
      </c>
      <c r="K209" s="5">
        <v>0</v>
      </c>
      <c r="L209" s="3">
        <v>-224.45</v>
      </c>
    </row>
    <row r="210" spans="1:12" x14ac:dyDescent="0.25">
      <c r="A210" s="5" t="s">
        <v>327</v>
      </c>
      <c r="B210" s="5" t="s">
        <v>46</v>
      </c>
      <c r="C210" s="5" t="s">
        <v>37</v>
      </c>
      <c r="D210" s="6" t="s">
        <v>38</v>
      </c>
      <c r="E210" s="5" t="s">
        <v>127</v>
      </c>
      <c r="F210" s="5">
        <v>0</v>
      </c>
      <c r="G210" s="5">
        <v>-250.7</v>
      </c>
      <c r="H210" s="5">
        <v>41.05</v>
      </c>
      <c r="I210" s="5">
        <v>-41.05</v>
      </c>
      <c r="J210" s="5">
        <v>0</v>
      </c>
      <c r="K210" s="5">
        <v>0</v>
      </c>
      <c r="L210" s="3">
        <v>-250.7</v>
      </c>
    </row>
    <row r="211" spans="1:12" x14ac:dyDescent="0.25">
      <c r="A211" s="5" t="s">
        <v>269</v>
      </c>
      <c r="B211" s="5" t="s">
        <v>46</v>
      </c>
      <c r="C211" s="5" t="s">
        <v>37</v>
      </c>
      <c r="D211" s="6" t="s">
        <v>38</v>
      </c>
      <c r="E211" s="5" t="s">
        <v>34</v>
      </c>
      <c r="F211" s="5">
        <v>0</v>
      </c>
      <c r="G211" s="5">
        <v>-294</v>
      </c>
      <c r="H211" s="5">
        <v>-0.18</v>
      </c>
      <c r="I211" s="5">
        <v>-1.82</v>
      </c>
      <c r="J211" s="5">
        <v>0</v>
      </c>
      <c r="K211" s="5">
        <v>0</v>
      </c>
      <c r="L211" s="3">
        <v>-296</v>
      </c>
    </row>
    <row r="212" spans="1:12" x14ac:dyDescent="0.25">
      <c r="A212" s="5" t="s">
        <v>271</v>
      </c>
      <c r="B212" s="5" t="s">
        <v>46</v>
      </c>
      <c r="C212" s="5" t="s">
        <v>37</v>
      </c>
      <c r="D212" s="6" t="s">
        <v>38</v>
      </c>
      <c r="E212" s="5" t="s">
        <v>48</v>
      </c>
      <c r="F212" s="5">
        <v>0</v>
      </c>
      <c r="G212" s="5">
        <v>0</v>
      </c>
      <c r="H212" s="5">
        <v>-360</v>
      </c>
      <c r="I212" s="5">
        <v>0</v>
      </c>
      <c r="J212" s="5">
        <v>0</v>
      </c>
      <c r="K212" s="5">
        <v>0</v>
      </c>
      <c r="L212" s="3">
        <v>-360</v>
      </c>
    </row>
    <row r="213" spans="1:12" x14ac:dyDescent="0.25">
      <c r="A213" s="5" t="s">
        <v>272</v>
      </c>
      <c r="B213" s="5" t="s">
        <v>46</v>
      </c>
      <c r="C213" s="5" t="s">
        <v>37</v>
      </c>
      <c r="D213" s="6" t="s">
        <v>38</v>
      </c>
      <c r="E213" s="5" t="s">
        <v>34</v>
      </c>
      <c r="F213" s="5">
        <v>0</v>
      </c>
      <c r="G213" s="5">
        <v>0</v>
      </c>
      <c r="H213" s="5">
        <v>0</v>
      </c>
      <c r="I213" s="5">
        <v>0</v>
      </c>
      <c r="J213" s="5">
        <v>-400</v>
      </c>
      <c r="K213" s="5">
        <v>0</v>
      </c>
      <c r="L213" s="3">
        <v>-400</v>
      </c>
    </row>
    <row r="214" spans="1:12" x14ac:dyDescent="0.25">
      <c r="A214" s="5" t="s">
        <v>273</v>
      </c>
      <c r="B214" s="5" t="s">
        <v>46</v>
      </c>
      <c r="C214" s="5" t="s">
        <v>37</v>
      </c>
      <c r="D214" s="6" t="s">
        <v>38</v>
      </c>
      <c r="E214" s="5" t="s">
        <v>34</v>
      </c>
      <c r="F214" s="5">
        <v>0</v>
      </c>
      <c r="G214" s="5">
        <v>-433.97</v>
      </c>
      <c r="H214" s="5">
        <v>0</v>
      </c>
      <c r="I214" s="5">
        <v>0</v>
      </c>
      <c r="J214" s="5">
        <v>0</v>
      </c>
      <c r="K214" s="5">
        <v>0</v>
      </c>
      <c r="L214" s="3">
        <v>-433.97</v>
      </c>
    </row>
    <row r="215" spans="1:12" x14ac:dyDescent="0.25">
      <c r="A215" s="5" t="s">
        <v>274</v>
      </c>
      <c r="B215" s="5" t="s">
        <v>46</v>
      </c>
      <c r="C215" s="5" t="s">
        <v>37</v>
      </c>
      <c r="D215" s="6" t="s">
        <v>38</v>
      </c>
      <c r="E215" s="5" t="s">
        <v>34</v>
      </c>
      <c r="F215" s="5">
        <v>0</v>
      </c>
      <c r="G215" s="5">
        <v>-489.76</v>
      </c>
      <c r="H215" s="5">
        <v>0</v>
      </c>
      <c r="I215" s="5">
        <v>0</v>
      </c>
      <c r="J215" s="5">
        <v>0</v>
      </c>
      <c r="K215" s="5">
        <v>0</v>
      </c>
      <c r="L215" s="3">
        <v>-489.76</v>
      </c>
    </row>
    <row r="216" spans="1:12" x14ac:dyDescent="0.25">
      <c r="A216" s="5" t="s">
        <v>309</v>
      </c>
      <c r="B216" s="5" t="s">
        <v>46</v>
      </c>
      <c r="C216" s="5" t="s">
        <v>37</v>
      </c>
      <c r="D216" s="6" t="s">
        <v>38</v>
      </c>
      <c r="E216" s="5" t="s">
        <v>127</v>
      </c>
      <c r="F216" s="5">
        <v>0</v>
      </c>
      <c r="G216" s="5">
        <v>-508.2</v>
      </c>
      <c r="H216" s="5">
        <v>0</v>
      </c>
      <c r="I216" s="5">
        <v>0</v>
      </c>
      <c r="J216" s="5">
        <v>0</v>
      </c>
      <c r="K216" s="5">
        <v>0</v>
      </c>
      <c r="L216" s="3">
        <v>-508.2</v>
      </c>
    </row>
    <row r="217" spans="1:12" x14ac:dyDescent="0.25">
      <c r="A217" s="5" t="s">
        <v>275</v>
      </c>
      <c r="B217" s="5" t="s">
        <v>46</v>
      </c>
      <c r="C217" s="5" t="s">
        <v>37</v>
      </c>
      <c r="D217" s="6" t="s">
        <v>38</v>
      </c>
      <c r="E217" s="5" t="s">
        <v>79</v>
      </c>
      <c r="F217" s="5">
        <v>0</v>
      </c>
      <c r="G217" s="5">
        <v>286.57</v>
      </c>
      <c r="H217" s="5">
        <v>0</v>
      </c>
      <c r="I217" s="5">
        <v>0</v>
      </c>
      <c r="J217" s="5">
        <v>-803.57</v>
      </c>
      <c r="K217" s="5">
        <v>0</v>
      </c>
      <c r="L217" s="3">
        <v>-517</v>
      </c>
    </row>
    <row r="218" spans="1:12" x14ac:dyDescent="0.25">
      <c r="A218" s="5" t="s">
        <v>285</v>
      </c>
      <c r="B218" s="5" t="s">
        <v>46</v>
      </c>
      <c r="C218" s="5" t="s">
        <v>37</v>
      </c>
      <c r="D218" s="6" t="s">
        <v>38</v>
      </c>
      <c r="E218" s="5" t="s">
        <v>48</v>
      </c>
      <c r="F218" s="5">
        <v>0</v>
      </c>
      <c r="G218" s="5">
        <v>0</v>
      </c>
      <c r="H218" s="5">
        <v>0</v>
      </c>
      <c r="I218" s="5">
        <v>-533.5</v>
      </c>
      <c r="J218" s="5">
        <v>0</v>
      </c>
      <c r="K218" s="5">
        <v>0</v>
      </c>
      <c r="L218" s="3">
        <v>-533.5</v>
      </c>
    </row>
    <row r="219" spans="1:12" x14ac:dyDescent="0.25">
      <c r="A219" s="5" t="s">
        <v>159</v>
      </c>
      <c r="B219" s="5" t="s">
        <v>46</v>
      </c>
      <c r="C219" s="5" t="s">
        <v>37</v>
      </c>
      <c r="D219" s="6" t="s">
        <v>38</v>
      </c>
      <c r="E219" s="5" t="s">
        <v>51</v>
      </c>
      <c r="F219" s="5">
        <v>0</v>
      </c>
      <c r="G219" s="5">
        <v>-557.09</v>
      </c>
      <c r="H219" s="5">
        <v>0</v>
      </c>
      <c r="I219" s="5">
        <v>0</v>
      </c>
      <c r="J219" s="5">
        <v>0</v>
      </c>
      <c r="K219" s="5">
        <v>0</v>
      </c>
      <c r="L219" s="3">
        <v>-557.09</v>
      </c>
    </row>
    <row r="220" spans="1:12" x14ac:dyDescent="0.25">
      <c r="A220" s="5" t="s">
        <v>277</v>
      </c>
      <c r="B220" s="5" t="s">
        <v>17</v>
      </c>
      <c r="C220" s="5" t="s">
        <v>14</v>
      </c>
      <c r="D220" s="6">
        <v>0</v>
      </c>
      <c r="E220" s="5" t="s">
        <v>15</v>
      </c>
      <c r="F220" s="5">
        <v>0</v>
      </c>
      <c r="G220" s="5">
        <v>0</v>
      </c>
      <c r="H220" s="5">
        <v>192332.33</v>
      </c>
      <c r="I220" s="5">
        <v>-206596.33</v>
      </c>
      <c r="J220" s="5">
        <v>13616.33</v>
      </c>
      <c r="K220" s="5">
        <v>0</v>
      </c>
      <c r="L220" s="3">
        <v>-647.67000000000007</v>
      </c>
    </row>
    <row r="221" spans="1:12" x14ac:dyDescent="0.25">
      <c r="A221" s="5" t="s">
        <v>279</v>
      </c>
      <c r="B221" s="5" t="s">
        <v>46</v>
      </c>
      <c r="C221" s="5" t="s">
        <v>37</v>
      </c>
      <c r="D221" s="6" t="s">
        <v>38</v>
      </c>
      <c r="E221" s="5" t="s">
        <v>79</v>
      </c>
      <c r="F221" s="5">
        <v>0</v>
      </c>
      <c r="G221" s="5">
        <v>-875</v>
      </c>
      <c r="H221" s="5">
        <v>0</v>
      </c>
      <c r="I221" s="5">
        <v>0</v>
      </c>
      <c r="J221" s="5">
        <v>0</v>
      </c>
      <c r="K221" s="5">
        <v>0</v>
      </c>
      <c r="L221" s="3">
        <v>-875</v>
      </c>
    </row>
    <row r="222" spans="1:12" x14ac:dyDescent="0.25">
      <c r="A222" s="5" t="s">
        <v>280</v>
      </c>
      <c r="B222" s="5" t="s">
        <v>46</v>
      </c>
      <c r="C222" s="5" t="s">
        <v>37</v>
      </c>
      <c r="D222" s="6" t="s">
        <v>38</v>
      </c>
      <c r="E222" s="5" t="s">
        <v>181</v>
      </c>
      <c r="F222" s="5">
        <v>0</v>
      </c>
      <c r="G222" s="5">
        <v>0</v>
      </c>
      <c r="H222" s="5">
        <v>0</v>
      </c>
      <c r="I222" s="5">
        <v>0</v>
      </c>
      <c r="J222" s="5">
        <v>-966.1</v>
      </c>
      <c r="K222" s="5">
        <v>0</v>
      </c>
      <c r="L222" s="3">
        <v>-966.1</v>
      </c>
    </row>
    <row r="223" spans="1:12" x14ac:dyDescent="0.25">
      <c r="A223" s="5" t="s">
        <v>143</v>
      </c>
      <c r="B223" s="5" t="s">
        <v>46</v>
      </c>
      <c r="C223" s="5" t="s">
        <v>37</v>
      </c>
      <c r="D223" s="6" t="s">
        <v>38</v>
      </c>
      <c r="E223" s="5" t="s">
        <v>51</v>
      </c>
      <c r="F223" s="5">
        <v>0</v>
      </c>
      <c r="G223" s="5">
        <v>-1000</v>
      </c>
      <c r="H223" s="5">
        <v>0</v>
      </c>
      <c r="I223" s="5">
        <v>0</v>
      </c>
      <c r="J223" s="5">
        <v>0</v>
      </c>
      <c r="K223" s="5">
        <v>0</v>
      </c>
      <c r="L223" s="3">
        <v>-1000</v>
      </c>
    </row>
    <row r="224" spans="1:12" x14ac:dyDescent="0.25">
      <c r="A224" s="5" t="s">
        <v>281</v>
      </c>
      <c r="B224" s="5" t="s">
        <v>46</v>
      </c>
      <c r="C224" s="5" t="s">
        <v>37</v>
      </c>
      <c r="D224" s="6" t="s">
        <v>38</v>
      </c>
      <c r="E224" s="5" t="s">
        <v>79</v>
      </c>
      <c r="F224" s="5">
        <v>0</v>
      </c>
      <c r="G224" s="5">
        <v>0</v>
      </c>
      <c r="H224" s="5">
        <v>0</v>
      </c>
      <c r="I224" s="5">
        <v>0</v>
      </c>
      <c r="J224" s="5">
        <v>-1009.98</v>
      </c>
      <c r="K224" s="5">
        <v>0</v>
      </c>
      <c r="L224" s="3">
        <v>-1009.98</v>
      </c>
    </row>
    <row r="225" spans="1:12" x14ac:dyDescent="0.25">
      <c r="A225" s="5" t="s">
        <v>282</v>
      </c>
      <c r="B225" s="5" t="s">
        <v>46</v>
      </c>
      <c r="C225" s="5" t="s">
        <v>37</v>
      </c>
      <c r="D225" s="6" t="s">
        <v>38</v>
      </c>
      <c r="E225" s="5" t="s">
        <v>48</v>
      </c>
      <c r="F225" s="5">
        <v>0</v>
      </c>
      <c r="G225" s="5">
        <v>0</v>
      </c>
      <c r="H225" s="5">
        <v>-340</v>
      </c>
      <c r="I225" s="5">
        <v>-1000</v>
      </c>
      <c r="J225" s="5">
        <v>0</v>
      </c>
      <c r="K225" s="5">
        <v>0</v>
      </c>
      <c r="L225" s="3">
        <v>-1340</v>
      </c>
    </row>
    <row r="226" spans="1:12" x14ac:dyDescent="0.25">
      <c r="A226" s="5" t="s">
        <v>283</v>
      </c>
      <c r="B226" s="5" t="s">
        <v>46</v>
      </c>
      <c r="C226" s="5" t="s">
        <v>37</v>
      </c>
      <c r="D226" s="6" t="s">
        <v>38</v>
      </c>
      <c r="E226" s="5" t="s">
        <v>79</v>
      </c>
      <c r="F226" s="5">
        <v>0</v>
      </c>
      <c r="G226" s="5">
        <v>0</v>
      </c>
      <c r="H226" s="5">
        <v>0</v>
      </c>
      <c r="I226" s="5">
        <v>0</v>
      </c>
      <c r="J226" s="5">
        <v>-1421.62</v>
      </c>
      <c r="K226" s="5">
        <v>0</v>
      </c>
      <c r="L226" s="3">
        <v>-1421.62</v>
      </c>
    </row>
    <row r="227" spans="1:12" x14ac:dyDescent="0.25">
      <c r="A227" s="5" t="s">
        <v>284</v>
      </c>
      <c r="B227" s="5" t="s">
        <v>46</v>
      </c>
      <c r="C227" s="5" t="s">
        <v>37</v>
      </c>
      <c r="D227" s="6" t="s">
        <v>38</v>
      </c>
      <c r="E227" s="5" t="s">
        <v>127</v>
      </c>
      <c r="F227" s="5">
        <v>0</v>
      </c>
      <c r="G227" s="5">
        <v>0</v>
      </c>
      <c r="H227" s="5">
        <v>-1450</v>
      </c>
      <c r="I227" s="5">
        <v>0</v>
      </c>
      <c r="J227" s="5">
        <v>0</v>
      </c>
      <c r="K227" s="5">
        <v>0</v>
      </c>
      <c r="L227" s="3">
        <v>-1450</v>
      </c>
    </row>
    <row r="228" spans="1:12" x14ac:dyDescent="0.25">
      <c r="A228" s="5" t="s">
        <v>287</v>
      </c>
      <c r="B228" s="5" t="s">
        <v>46</v>
      </c>
      <c r="C228" s="5" t="s">
        <v>37</v>
      </c>
      <c r="D228" s="6" t="s">
        <v>38</v>
      </c>
      <c r="E228" s="5" t="s">
        <v>34</v>
      </c>
      <c r="F228" s="5">
        <v>0</v>
      </c>
      <c r="G228" s="5">
        <v>-1600</v>
      </c>
      <c r="H228" s="5">
        <v>0</v>
      </c>
      <c r="I228" s="5">
        <v>0</v>
      </c>
      <c r="J228" s="5">
        <v>0</v>
      </c>
      <c r="K228" s="5">
        <v>0</v>
      </c>
      <c r="L228" s="3">
        <v>-1600</v>
      </c>
    </row>
    <row r="229" spans="1:12" x14ac:dyDescent="0.25">
      <c r="A229" s="5" t="s">
        <v>288</v>
      </c>
      <c r="B229" s="5" t="s">
        <v>46</v>
      </c>
      <c r="C229" s="5" t="s">
        <v>37</v>
      </c>
      <c r="D229" s="6" t="s">
        <v>38</v>
      </c>
      <c r="E229" s="5" t="s">
        <v>79</v>
      </c>
      <c r="F229" s="5">
        <v>0</v>
      </c>
      <c r="G229" s="5">
        <v>-1720</v>
      </c>
      <c r="H229" s="5">
        <v>0</v>
      </c>
      <c r="I229" s="5">
        <v>0</v>
      </c>
      <c r="J229" s="5">
        <v>0</v>
      </c>
      <c r="K229" s="5">
        <v>0</v>
      </c>
      <c r="L229" s="3">
        <v>-1720</v>
      </c>
    </row>
    <row r="230" spans="1:12" x14ac:dyDescent="0.25">
      <c r="A230" s="5" t="s">
        <v>289</v>
      </c>
      <c r="B230" s="5" t="s">
        <v>46</v>
      </c>
      <c r="C230" s="5"/>
      <c r="D230" s="6" t="s">
        <v>38</v>
      </c>
      <c r="E230" s="5"/>
      <c r="F230" s="5">
        <v>0</v>
      </c>
      <c r="G230" s="5">
        <v>-1777.5</v>
      </c>
      <c r="H230" s="5">
        <v>0</v>
      </c>
      <c r="I230" s="5">
        <v>0</v>
      </c>
      <c r="J230" s="5">
        <v>0</v>
      </c>
      <c r="K230" s="5">
        <v>0</v>
      </c>
      <c r="L230" s="3">
        <v>-1777.5</v>
      </c>
    </row>
    <row r="231" spans="1:12" x14ac:dyDescent="0.25">
      <c r="A231" s="5" t="s">
        <v>290</v>
      </c>
      <c r="B231" s="5" t="s">
        <v>46</v>
      </c>
      <c r="C231" s="5" t="s">
        <v>37</v>
      </c>
      <c r="D231" s="6" t="s">
        <v>38</v>
      </c>
      <c r="E231" s="5" t="s">
        <v>79</v>
      </c>
      <c r="F231" s="5">
        <v>0</v>
      </c>
      <c r="G231" s="5">
        <v>-185</v>
      </c>
      <c r="H231" s="5">
        <v>-2314.5</v>
      </c>
      <c r="I231" s="5">
        <v>0</v>
      </c>
      <c r="J231" s="5">
        <v>485</v>
      </c>
      <c r="K231" s="5">
        <v>0</v>
      </c>
      <c r="L231" s="3">
        <v>-2014.5</v>
      </c>
    </row>
    <row r="232" spans="1:12" x14ac:dyDescent="0.25">
      <c r="A232" s="5" t="s">
        <v>291</v>
      </c>
      <c r="B232" s="5" t="s">
        <v>46</v>
      </c>
      <c r="C232" s="5" t="s">
        <v>37</v>
      </c>
      <c r="D232" s="6" t="s">
        <v>38</v>
      </c>
      <c r="E232" s="5" t="s">
        <v>79</v>
      </c>
      <c r="F232" s="5">
        <v>0</v>
      </c>
      <c r="G232" s="5">
        <v>0</v>
      </c>
      <c r="H232" s="5">
        <v>0</v>
      </c>
      <c r="I232" s="5">
        <v>0</v>
      </c>
      <c r="J232" s="5">
        <v>-2574.9899999999998</v>
      </c>
      <c r="K232" s="5">
        <v>0</v>
      </c>
      <c r="L232" s="3">
        <v>-2574.9899999999998</v>
      </c>
    </row>
    <row r="233" spans="1:12" x14ac:dyDescent="0.25">
      <c r="A233" s="5" t="s">
        <v>321</v>
      </c>
      <c r="B233" s="5" t="s">
        <v>46</v>
      </c>
      <c r="C233" s="5" t="s">
        <v>37</v>
      </c>
      <c r="D233" s="6" t="s">
        <v>38</v>
      </c>
      <c r="E233" s="5" t="s">
        <v>181</v>
      </c>
      <c r="F233" s="5">
        <v>-3042.16</v>
      </c>
      <c r="G233" s="5">
        <v>-0.84</v>
      </c>
      <c r="H233" s="5">
        <v>0</v>
      </c>
      <c r="I233" s="5">
        <v>0</v>
      </c>
      <c r="J233" s="5">
        <v>0</v>
      </c>
      <c r="K233" s="5">
        <v>0</v>
      </c>
      <c r="L233" s="3">
        <v>-3043</v>
      </c>
    </row>
    <row r="234" spans="1:12" x14ac:dyDescent="0.25">
      <c r="A234" s="5" t="s">
        <v>310</v>
      </c>
      <c r="B234" s="5" t="s">
        <v>46</v>
      </c>
      <c r="C234" s="5" t="s">
        <v>37</v>
      </c>
      <c r="D234" s="6" t="s">
        <v>38</v>
      </c>
      <c r="E234" s="5" t="s">
        <v>79</v>
      </c>
      <c r="F234" s="5">
        <v>-3102</v>
      </c>
      <c r="G234" s="5">
        <v>-2</v>
      </c>
      <c r="H234" s="5">
        <v>0</v>
      </c>
      <c r="I234" s="5">
        <v>0</v>
      </c>
      <c r="J234" s="5">
        <v>0</v>
      </c>
      <c r="K234" s="5">
        <v>0</v>
      </c>
      <c r="L234" s="3">
        <v>-3104</v>
      </c>
    </row>
    <row r="235" spans="1:12" x14ac:dyDescent="0.25">
      <c r="A235" s="5" t="s">
        <v>320</v>
      </c>
      <c r="B235" s="5" t="s">
        <v>46</v>
      </c>
      <c r="C235" s="5" t="s">
        <v>37</v>
      </c>
      <c r="D235" s="6" t="s">
        <v>38</v>
      </c>
      <c r="E235" s="5" t="s">
        <v>51</v>
      </c>
      <c r="F235" s="5">
        <v>-3250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3">
        <v>-3250</v>
      </c>
    </row>
    <row r="236" spans="1:12" x14ac:dyDescent="0.25">
      <c r="A236" s="5" t="s">
        <v>294</v>
      </c>
      <c r="B236" s="5" t="s">
        <v>46</v>
      </c>
      <c r="C236" s="5" t="s">
        <v>37</v>
      </c>
      <c r="D236" s="6" t="s">
        <v>38</v>
      </c>
      <c r="E236" s="5" t="s">
        <v>34</v>
      </c>
      <c r="F236" s="5">
        <v>0</v>
      </c>
      <c r="G236" s="5">
        <v>0</v>
      </c>
      <c r="H236" s="5">
        <v>30.62</v>
      </c>
      <c r="I236" s="5">
        <v>-3324</v>
      </c>
      <c r="J236" s="5">
        <v>0</v>
      </c>
      <c r="K236" s="5">
        <v>0</v>
      </c>
      <c r="L236" s="3">
        <v>-3293.38</v>
      </c>
    </row>
    <row r="237" spans="1:12" x14ac:dyDescent="0.25">
      <c r="A237" s="5" t="s">
        <v>329</v>
      </c>
      <c r="B237" s="5" t="s">
        <v>46</v>
      </c>
      <c r="C237" s="5"/>
      <c r="D237" s="6" t="s">
        <v>38</v>
      </c>
      <c r="E237" s="5"/>
      <c r="F237" s="5">
        <v>-3450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3">
        <v>-3450</v>
      </c>
    </row>
    <row r="238" spans="1:12" x14ac:dyDescent="0.25">
      <c r="A238" s="5" t="s">
        <v>295</v>
      </c>
      <c r="B238" s="5" t="s">
        <v>46</v>
      </c>
      <c r="C238" s="5" t="s">
        <v>37</v>
      </c>
      <c r="D238" s="6" t="s">
        <v>38</v>
      </c>
      <c r="E238" s="5" t="s">
        <v>51</v>
      </c>
      <c r="F238" s="5">
        <v>0</v>
      </c>
      <c r="G238" s="5">
        <v>-4590</v>
      </c>
      <c r="H238" s="5">
        <v>-2081</v>
      </c>
      <c r="I238" s="5">
        <v>0</v>
      </c>
      <c r="J238" s="5">
        <v>2492.4299999999998</v>
      </c>
      <c r="K238" s="5">
        <v>0</v>
      </c>
      <c r="L238" s="3">
        <v>-4178.57</v>
      </c>
    </row>
    <row r="239" spans="1:12" x14ac:dyDescent="0.25">
      <c r="A239" s="5" t="s">
        <v>311</v>
      </c>
      <c r="B239" s="5" t="s">
        <v>46</v>
      </c>
      <c r="C239" s="5" t="s">
        <v>37</v>
      </c>
      <c r="D239" s="6" t="s">
        <v>38</v>
      </c>
      <c r="E239" s="5" t="s">
        <v>79</v>
      </c>
      <c r="F239" s="5">
        <v>-4350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3">
        <v>-4350</v>
      </c>
    </row>
    <row r="240" spans="1:12" x14ac:dyDescent="0.25">
      <c r="A240" s="5" t="s">
        <v>296</v>
      </c>
      <c r="B240" s="5" t="s">
        <v>46</v>
      </c>
      <c r="C240" s="5" t="s">
        <v>37</v>
      </c>
      <c r="D240" s="6" t="s">
        <v>38</v>
      </c>
      <c r="E240" s="5" t="s">
        <v>51</v>
      </c>
      <c r="F240" s="5">
        <v>0</v>
      </c>
      <c r="G240" s="5">
        <v>0</v>
      </c>
      <c r="H240" s="5">
        <v>0</v>
      </c>
      <c r="I240" s="5">
        <v>0</v>
      </c>
      <c r="J240" s="5">
        <v>-4410</v>
      </c>
      <c r="K240" s="5">
        <v>0</v>
      </c>
      <c r="L240" s="3">
        <v>-4410</v>
      </c>
    </row>
    <row r="241" spans="1:12" x14ac:dyDescent="0.25">
      <c r="A241" s="5" t="s">
        <v>297</v>
      </c>
      <c r="B241" s="5" t="s">
        <v>46</v>
      </c>
      <c r="C241" s="5" t="s">
        <v>37</v>
      </c>
      <c r="D241" s="6" t="s">
        <v>38</v>
      </c>
      <c r="E241" s="5" t="s">
        <v>127</v>
      </c>
      <c r="F241" s="5">
        <v>0</v>
      </c>
      <c r="G241" s="5">
        <v>0</v>
      </c>
      <c r="H241" s="5">
        <v>-209.5</v>
      </c>
      <c r="I241" s="5">
        <v>-4339.2</v>
      </c>
      <c r="J241" s="5">
        <v>0</v>
      </c>
      <c r="K241" s="5">
        <v>0</v>
      </c>
      <c r="L241" s="3">
        <v>-4548.7</v>
      </c>
    </row>
    <row r="242" spans="1:12" x14ac:dyDescent="0.25">
      <c r="A242" s="5" t="s">
        <v>316</v>
      </c>
      <c r="B242" s="5" t="s">
        <v>46</v>
      </c>
      <c r="C242" s="5"/>
      <c r="D242" s="6" t="s">
        <v>38</v>
      </c>
      <c r="E242" s="5"/>
      <c r="F242" s="5">
        <v>-4797.5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3">
        <v>-4797.5</v>
      </c>
    </row>
    <row r="243" spans="1:12" x14ac:dyDescent="0.25">
      <c r="A243" s="5" t="s">
        <v>192</v>
      </c>
      <c r="B243" s="5" t="s">
        <v>46</v>
      </c>
      <c r="C243" s="5" t="s">
        <v>37</v>
      </c>
      <c r="D243" s="6" t="s">
        <v>38</v>
      </c>
      <c r="E243" s="5" t="s">
        <v>51</v>
      </c>
      <c r="F243" s="5">
        <v>-4996.25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3">
        <v>-4996.25</v>
      </c>
    </row>
    <row r="244" spans="1:12" x14ac:dyDescent="0.25">
      <c r="A244" s="5" t="s">
        <v>251</v>
      </c>
      <c r="B244" s="5" t="s">
        <v>46</v>
      </c>
      <c r="C244" s="5" t="s">
        <v>37</v>
      </c>
      <c r="D244" s="6" t="s">
        <v>38</v>
      </c>
      <c r="E244" s="5" t="s">
        <v>48</v>
      </c>
      <c r="F244" s="5">
        <v>-5956</v>
      </c>
      <c r="G244" s="5">
        <v>0</v>
      </c>
      <c r="H244" s="5">
        <v>0</v>
      </c>
      <c r="I244" s="5">
        <v>0</v>
      </c>
      <c r="J244" s="5">
        <v>871</v>
      </c>
      <c r="K244" s="5">
        <v>0</v>
      </c>
      <c r="L244" s="3">
        <v>-5085</v>
      </c>
    </row>
    <row r="245" spans="1:12" x14ac:dyDescent="0.25">
      <c r="A245" s="5" t="s">
        <v>298</v>
      </c>
      <c r="B245" s="5" t="s">
        <v>46</v>
      </c>
      <c r="C245" s="5" t="s">
        <v>37</v>
      </c>
      <c r="D245" s="6" t="s">
        <v>38</v>
      </c>
      <c r="E245" s="5" t="s">
        <v>79</v>
      </c>
      <c r="F245" s="5">
        <v>0</v>
      </c>
      <c r="G245" s="5">
        <v>0</v>
      </c>
      <c r="H245" s="5">
        <v>-5195</v>
      </c>
      <c r="I245" s="5">
        <v>0</v>
      </c>
      <c r="J245" s="5">
        <v>0</v>
      </c>
      <c r="K245" s="5">
        <v>0</v>
      </c>
      <c r="L245" s="3">
        <v>-5195</v>
      </c>
    </row>
    <row r="246" spans="1:12" x14ac:dyDescent="0.25">
      <c r="A246" s="5" t="s">
        <v>220</v>
      </c>
      <c r="B246" s="5" t="s">
        <v>46</v>
      </c>
      <c r="C246" s="5" t="s">
        <v>18</v>
      </c>
      <c r="D246" s="6" t="s">
        <v>19</v>
      </c>
      <c r="E246" s="5" t="s">
        <v>34</v>
      </c>
      <c r="F246" s="5">
        <v>-9225</v>
      </c>
      <c r="G246" s="5">
        <v>3971.5</v>
      </c>
      <c r="H246" s="5">
        <v>0</v>
      </c>
      <c r="I246" s="5">
        <v>0</v>
      </c>
      <c r="J246" s="5">
        <v>0</v>
      </c>
      <c r="K246" s="5">
        <v>0</v>
      </c>
      <c r="L246" s="3">
        <v>-5253.5</v>
      </c>
    </row>
    <row r="247" spans="1:12" x14ac:dyDescent="0.25">
      <c r="A247" s="5" t="s">
        <v>299</v>
      </c>
      <c r="B247" s="5" t="s">
        <v>46</v>
      </c>
      <c r="C247" s="5" t="s">
        <v>37</v>
      </c>
      <c r="D247" s="6" t="s">
        <v>38</v>
      </c>
      <c r="E247" s="5" t="s">
        <v>51</v>
      </c>
      <c r="F247" s="5">
        <v>0</v>
      </c>
      <c r="G247" s="5">
        <v>-5820</v>
      </c>
      <c r="H247" s="5">
        <v>0</v>
      </c>
      <c r="I247" s="5">
        <v>0</v>
      </c>
      <c r="J247" s="5">
        <v>0</v>
      </c>
      <c r="K247" s="5">
        <v>0</v>
      </c>
      <c r="L247" s="3">
        <v>-5820</v>
      </c>
    </row>
    <row r="248" spans="1:12" x14ac:dyDescent="0.25">
      <c r="A248" s="5" t="s">
        <v>313</v>
      </c>
      <c r="B248" s="5" t="s">
        <v>46</v>
      </c>
      <c r="C248" s="5" t="s">
        <v>37</v>
      </c>
      <c r="D248" s="6" t="s">
        <v>38</v>
      </c>
      <c r="E248" s="5" t="s">
        <v>51</v>
      </c>
      <c r="F248" s="5">
        <v>-6759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3">
        <v>-6759</v>
      </c>
    </row>
    <row r="249" spans="1:12" x14ac:dyDescent="0.25">
      <c r="A249" s="5" t="s">
        <v>325</v>
      </c>
      <c r="B249" s="5" t="s">
        <v>46</v>
      </c>
      <c r="C249" s="5" t="s">
        <v>37</v>
      </c>
      <c r="D249" s="6" t="s">
        <v>38</v>
      </c>
      <c r="E249" s="5" t="s">
        <v>79</v>
      </c>
      <c r="F249" s="5">
        <v>-7477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3">
        <v>-7477</v>
      </c>
    </row>
    <row r="250" spans="1:12" x14ac:dyDescent="0.25">
      <c r="A250" s="5" t="s">
        <v>300</v>
      </c>
      <c r="B250" s="5" t="s">
        <v>46</v>
      </c>
      <c r="C250" s="5" t="s">
        <v>37</v>
      </c>
      <c r="D250" s="6" t="s">
        <v>38</v>
      </c>
      <c r="E250" s="5" t="s">
        <v>34</v>
      </c>
      <c r="F250" s="5">
        <v>0</v>
      </c>
      <c r="G250" s="5">
        <v>-8856</v>
      </c>
      <c r="H250" s="5">
        <v>0</v>
      </c>
      <c r="I250" s="5">
        <v>0</v>
      </c>
      <c r="J250" s="5">
        <v>0</v>
      </c>
      <c r="K250" s="5">
        <v>0</v>
      </c>
      <c r="L250" s="3">
        <v>-8856</v>
      </c>
    </row>
    <row r="251" spans="1:12" x14ac:dyDescent="0.25">
      <c r="A251" s="5" t="s">
        <v>328</v>
      </c>
      <c r="B251" s="5" t="s">
        <v>46</v>
      </c>
      <c r="C251" s="5" t="s">
        <v>37</v>
      </c>
      <c r="D251" s="6" t="s">
        <v>38</v>
      </c>
      <c r="E251" s="5" t="s">
        <v>34</v>
      </c>
      <c r="F251" s="5">
        <v>-8986</v>
      </c>
      <c r="G251" s="5">
        <v>0.35</v>
      </c>
      <c r="H251" s="5">
        <v>0</v>
      </c>
      <c r="I251" s="5">
        <v>0</v>
      </c>
      <c r="J251" s="5">
        <v>0</v>
      </c>
      <c r="K251" s="5">
        <v>0</v>
      </c>
      <c r="L251" s="3">
        <v>-8985.65</v>
      </c>
    </row>
    <row r="252" spans="1:12" x14ac:dyDescent="0.25">
      <c r="A252" s="5" t="s">
        <v>301</v>
      </c>
      <c r="B252" s="5" t="s">
        <v>17</v>
      </c>
      <c r="C252" s="5" t="s">
        <v>18</v>
      </c>
      <c r="D252" s="6" t="s">
        <v>19</v>
      </c>
      <c r="E252" s="5" t="s">
        <v>15</v>
      </c>
      <c r="F252" s="5">
        <v>0</v>
      </c>
      <c r="G252" s="5">
        <v>-20281.689999999999</v>
      </c>
      <c r="H252" s="5">
        <v>0</v>
      </c>
      <c r="I252" s="5">
        <v>0</v>
      </c>
      <c r="J252" s="5">
        <v>0</v>
      </c>
      <c r="K252" s="5">
        <v>0</v>
      </c>
      <c r="L252" s="3">
        <v>-20281.689999999999</v>
      </c>
    </row>
    <row r="253" spans="1:12" x14ac:dyDescent="0.25">
      <c r="A253" s="5" t="s">
        <v>302</v>
      </c>
      <c r="B253" s="5" t="s">
        <v>46</v>
      </c>
      <c r="C253" s="5" t="s">
        <v>37</v>
      </c>
      <c r="D253" s="6" t="s">
        <v>38</v>
      </c>
      <c r="E253" s="5" t="s">
        <v>34</v>
      </c>
      <c r="F253" s="5">
        <v>0</v>
      </c>
      <c r="G253" s="5">
        <v>0</v>
      </c>
      <c r="H253" s="5">
        <v>-20677.38</v>
      </c>
      <c r="I253" s="5">
        <v>-159.66999999999999</v>
      </c>
      <c r="J253" s="5">
        <v>0</v>
      </c>
      <c r="K253" s="5">
        <v>0</v>
      </c>
      <c r="L253" s="3">
        <v>-20837.05</v>
      </c>
    </row>
    <row r="254" spans="1:12" x14ac:dyDescent="0.25">
      <c r="A254" s="5" t="s">
        <v>304</v>
      </c>
      <c r="B254" s="5" t="s">
        <v>46</v>
      </c>
      <c r="C254" s="5" t="s">
        <v>18</v>
      </c>
      <c r="D254" s="6" t="s">
        <v>305</v>
      </c>
      <c r="E254" s="5" t="s">
        <v>51</v>
      </c>
      <c r="F254" s="5">
        <v>0</v>
      </c>
      <c r="G254" s="5">
        <v>-45660</v>
      </c>
      <c r="H254" s="5">
        <v>-150</v>
      </c>
      <c r="I254" s="5">
        <v>0</v>
      </c>
      <c r="J254" s="5">
        <v>0</v>
      </c>
      <c r="K254" s="5">
        <v>0</v>
      </c>
      <c r="L254" s="3">
        <v>-45810</v>
      </c>
    </row>
    <row r="255" spans="1:12" x14ac:dyDescent="0.25">
      <c r="A255" s="5" t="s">
        <v>306</v>
      </c>
      <c r="B255" s="5" t="s">
        <v>17</v>
      </c>
      <c r="C255" s="5" t="s">
        <v>14</v>
      </c>
      <c r="D255" s="6">
        <v>0</v>
      </c>
      <c r="E255" s="5" t="s">
        <v>15</v>
      </c>
      <c r="F255" s="5">
        <v>0</v>
      </c>
      <c r="G255" s="5">
        <v>-36500</v>
      </c>
      <c r="H255" s="5">
        <v>-65479</v>
      </c>
      <c r="I255" s="5">
        <v>0</v>
      </c>
      <c r="J255" s="5">
        <v>0</v>
      </c>
      <c r="K255" s="5">
        <v>0</v>
      </c>
      <c r="L255" s="3">
        <v>-101979</v>
      </c>
    </row>
    <row r="256" spans="1:12" x14ac:dyDescent="0.25">
      <c r="A256" s="5" t="s">
        <v>303</v>
      </c>
      <c r="B256" s="5" t="s">
        <v>17</v>
      </c>
      <c r="C256" s="5" t="s">
        <v>37</v>
      </c>
      <c r="D256" s="6" t="s">
        <v>38</v>
      </c>
      <c r="E256" s="5" t="s">
        <v>15</v>
      </c>
      <c r="F256" s="5">
        <v>0</v>
      </c>
      <c r="G256" s="5">
        <v>-15.6</v>
      </c>
      <c r="H256" s="5">
        <v>-1.6</v>
      </c>
      <c r="I256" s="5">
        <v>-109692</v>
      </c>
      <c r="J256" s="5">
        <v>0</v>
      </c>
      <c r="K256" s="5">
        <v>0</v>
      </c>
      <c r="L256" s="3">
        <v>-109709.2</v>
      </c>
    </row>
    <row r="257" spans="1:12" x14ac:dyDescent="0.25">
      <c r="A257" s="5" t="s">
        <v>307</v>
      </c>
      <c r="B257" s="5" t="s">
        <v>17</v>
      </c>
      <c r="C257" s="5" t="s">
        <v>18</v>
      </c>
      <c r="D257" s="6" t="s">
        <v>19</v>
      </c>
      <c r="E257" s="5" t="s">
        <v>15</v>
      </c>
      <c r="F257" s="5">
        <v>0</v>
      </c>
      <c r="G257" s="5">
        <v>-133051</v>
      </c>
      <c r="H257" s="5">
        <v>-0.75</v>
      </c>
      <c r="I257" s="5">
        <v>-73998</v>
      </c>
      <c r="J257" s="5">
        <v>0</v>
      </c>
      <c r="K257" s="5">
        <v>0</v>
      </c>
      <c r="L257" s="3">
        <v>-207049.75</v>
      </c>
    </row>
  </sheetData>
  <autoFilter ref="A4:L257" xr:uid="{00000000-0001-0000-0000-000000000000}">
    <sortState xmlns:xlrd2="http://schemas.microsoft.com/office/spreadsheetml/2017/richdata2" ref="A6:L257">
      <sortCondition descending="1" ref="L4:L207"/>
    </sortState>
  </autoFilter>
  <mergeCells count="6">
    <mergeCell ref="A1:L1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6D3E-274B-4402-82B4-C1416046BDEB}">
  <dimension ref="A1:L273"/>
  <sheetViews>
    <sheetView rightToLeft="1" workbookViewId="0">
      <selection activeCell="C5" sqref="C5"/>
    </sheetView>
  </sheetViews>
  <sheetFormatPr defaultRowHeight="15" x14ac:dyDescent="0.25"/>
  <cols>
    <col min="1" max="1" width="35.5703125" style="4" bestFit="1" customWidth="1"/>
    <col min="2" max="2" width="10.28515625" style="7" customWidth="1"/>
    <col min="3" max="4" width="13.140625" style="7" customWidth="1"/>
    <col min="5" max="5" width="15.5703125" style="7" customWidth="1"/>
    <col min="6" max="6" width="15.85546875" style="7" customWidth="1"/>
    <col min="7" max="7" width="14.7109375" style="7" customWidth="1"/>
    <col min="8" max="8" width="13.85546875" style="7" customWidth="1"/>
    <col min="9" max="9" width="13.7109375" style="7" customWidth="1"/>
    <col min="10" max="10" width="14.28515625" style="7" bestFit="1" customWidth="1"/>
    <col min="11" max="11" width="14.140625" style="7" customWidth="1"/>
    <col min="12" max="12" width="16.85546875" style="7" customWidth="1"/>
    <col min="13" max="16384" width="9.140625" style="1"/>
  </cols>
  <sheetData>
    <row r="1" spans="1:12" ht="26.25" customHeight="1" thickBot="1" x14ac:dyDescent="0.25">
      <c r="A1" s="11" t="s">
        <v>364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3" spans="1:12" ht="15.75" customHeight="1" x14ac:dyDescent="0.25">
      <c r="A3" s="14" t="s">
        <v>1</v>
      </c>
      <c r="B3" s="15" t="s">
        <v>2</v>
      </c>
      <c r="C3" s="17" t="s">
        <v>3</v>
      </c>
      <c r="D3" s="17" t="s">
        <v>4</v>
      </c>
      <c r="E3" s="15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s="4" customFormat="1" x14ac:dyDescent="0.25">
      <c r="A4" s="14"/>
      <c r="B4" s="16"/>
      <c r="C4" s="18"/>
      <c r="D4" s="18"/>
      <c r="E4" s="16"/>
      <c r="F4" s="3">
        <f t="shared" ref="F4:L4" si="0">SUBTOTAL(9,F5:F233)</f>
        <v>21663547.980000004</v>
      </c>
      <c r="G4" s="3">
        <f t="shared" si="0"/>
        <v>17369294.899999999</v>
      </c>
      <c r="H4" s="3">
        <f t="shared" si="0"/>
        <v>11220715.990000002</v>
      </c>
      <c r="I4" s="3">
        <f t="shared" si="0"/>
        <v>817366.58</v>
      </c>
      <c r="J4" s="3">
        <f t="shared" si="0"/>
        <v>11382999.639999997</v>
      </c>
      <c r="K4" s="3">
        <f t="shared" si="0"/>
        <v>0</v>
      </c>
      <c r="L4" s="3">
        <f t="shared" si="0"/>
        <v>62453925.090000026</v>
      </c>
    </row>
    <row r="5" spans="1:12" x14ac:dyDescent="0.25">
      <c r="A5" s="8" t="s">
        <v>13</v>
      </c>
      <c r="B5" s="5">
        <v>0</v>
      </c>
      <c r="C5" s="5" t="s">
        <v>14</v>
      </c>
      <c r="D5" s="6">
        <v>0</v>
      </c>
      <c r="E5" s="5" t="s">
        <v>15</v>
      </c>
      <c r="F5" s="3">
        <v>0</v>
      </c>
      <c r="G5" s="3">
        <v>2240470</v>
      </c>
      <c r="H5" s="3">
        <v>6225061.1799999997</v>
      </c>
      <c r="I5" s="3">
        <v>0</v>
      </c>
      <c r="J5" s="3">
        <v>596748.59</v>
      </c>
      <c r="K5" s="3">
        <v>0</v>
      </c>
      <c r="L5" s="3">
        <v>9062279.7699999996</v>
      </c>
    </row>
    <row r="6" spans="1:12" x14ac:dyDescent="0.25">
      <c r="A6" s="8" t="s">
        <v>16</v>
      </c>
      <c r="B6" s="5" t="s">
        <v>17</v>
      </c>
      <c r="C6" s="5" t="s">
        <v>18</v>
      </c>
      <c r="D6" s="6" t="s">
        <v>19</v>
      </c>
      <c r="E6" s="5" t="s">
        <v>15</v>
      </c>
      <c r="F6" s="3">
        <v>579309.88</v>
      </c>
      <c r="G6" s="3">
        <v>2437930.0499999998</v>
      </c>
      <c r="H6" s="3">
        <v>37487</v>
      </c>
      <c r="I6" s="3">
        <v>213200.5</v>
      </c>
      <c r="J6" s="3">
        <v>190187.66</v>
      </c>
      <c r="K6" s="3">
        <v>0</v>
      </c>
      <c r="L6" s="3">
        <v>3458115.09</v>
      </c>
    </row>
    <row r="7" spans="1:12" x14ac:dyDescent="0.25">
      <c r="A7" s="5" t="s">
        <v>30</v>
      </c>
      <c r="B7" s="5" t="s">
        <v>17</v>
      </c>
      <c r="C7" s="5" t="s">
        <v>18</v>
      </c>
      <c r="D7" s="6" t="s">
        <v>31</v>
      </c>
      <c r="E7" s="5" t="s">
        <v>15</v>
      </c>
      <c r="F7" s="5">
        <v>917118.37</v>
      </c>
      <c r="G7" s="5">
        <v>1585003.01</v>
      </c>
      <c r="H7" s="5">
        <v>0</v>
      </c>
      <c r="I7" s="5">
        <v>0</v>
      </c>
      <c r="J7" s="5">
        <v>154204.10999999999</v>
      </c>
      <c r="K7" s="5">
        <v>0</v>
      </c>
      <c r="L7" s="3">
        <v>2656325.4900000002</v>
      </c>
    </row>
    <row r="8" spans="1:12" x14ac:dyDescent="0.25">
      <c r="A8" s="5" t="s">
        <v>24</v>
      </c>
      <c r="B8" s="5" t="s">
        <v>17</v>
      </c>
      <c r="C8" s="5" t="s">
        <v>18</v>
      </c>
      <c r="D8" s="6" t="s">
        <v>21</v>
      </c>
      <c r="E8" s="5" t="s">
        <v>15</v>
      </c>
      <c r="F8" s="5">
        <v>1248260</v>
      </c>
      <c r="G8" s="5">
        <v>352005</v>
      </c>
      <c r="H8" s="5">
        <v>832327.44</v>
      </c>
      <c r="I8" s="5">
        <v>210000</v>
      </c>
      <c r="J8" s="5">
        <v>0</v>
      </c>
      <c r="K8" s="5">
        <v>0</v>
      </c>
      <c r="L8" s="3">
        <v>2642592.44</v>
      </c>
    </row>
    <row r="9" spans="1:12" x14ac:dyDescent="0.25">
      <c r="A9" s="5" t="s">
        <v>26</v>
      </c>
      <c r="B9" s="5" t="s">
        <v>17</v>
      </c>
      <c r="C9" s="5" t="s">
        <v>18</v>
      </c>
      <c r="D9" s="6" t="s">
        <v>21</v>
      </c>
      <c r="E9" s="5" t="s">
        <v>15</v>
      </c>
      <c r="F9" s="5">
        <v>1544636.78</v>
      </c>
      <c r="G9" s="5">
        <v>1083299.96</v>
      </c>
      <c r="H9" s="5">
        <v>0</v>
      </c>
      <c r="I9" s="5">
        <v>0</v>
      </c>
      <c r="J9" s="5">
        <v>0</v>
      </c>
      <c r="K9" s="5">
        <v>0</v>
      </c>
      <c r="L9" s="3">
        <v>2627936.7400000002</v>
      </c>
    </row>
    <row r="10" spans="1:12" x14ac:dyDescent="0.25">
      <c r="A10" s="5" t="s">
        <v>20</v>
      </c>
      <c r="B10" s="5" t="s">
        <v>17</v>
      </c>
      <c r="C10" s="5" t="s">
        <v>18</v>
      </c>
      <c r="D10" s="6" t="s">
        <v>21</v>
      </c>
      <c r="E10" s="5" t="s">
        <v>15</v>
      </c>
      <c r="F10" s="5">
        <v>1457394.2</v>
      </c>
      <c r="G10" s="5">
        <v>218751.05</v>
      </c>
      <c r="H10" s="5">
        <v>0</v>
      </c>
      <c r="I10" s="5">
        <v>0</v>
      </c>
      <c r="J10" s="5">
        <v>927344.29</v>
      </c>
      <c r="K10" s="5">
        <v>0</v>
      </c>
      <c r="L10" s="3">
        <v>2603489.54</v>
      </c>
    </row>
    <row r="11" spans="1:12" x14ac:dyDescent="0.25">
      <c r="A11" s="8" t="s">
        <v>22</v>
      </c>
      <c r="B11" s="5" t="s">
        <v>17</v>
      </c>
      <c r="C11" s="5" t="s">
        <v>18</v>
      </c>
      <c r="D11" s="6" t="s">
        <v>23</v>
      </c>
      <c r="E11" s="5" t="s">
        <v>15</v>
      </c>
      <c r="F11" s="3">
        <v>1948050.26</v>
      </c>
      <c r="G11" s="3">
        <v>-434872.85</v>
      </c>
      <c r="H11" s="3">
        <v>503013.6</v>
      </c>
      <c r="I11" s="3">
        <v>0</v>
      </c>
      <c r="J11" s="3">
        <v>582364.27</v>
      </c>
      <c r="K11" s="3">
        <v>0</v>
      </c>
      <c r="L11" s="3">
        <v>2598555.2799999998</v>
      </c>
    </row>
    <row r="12" spans="1:12" x14ac:dyDescent="0.25">
      <c r="A12" s="8" t="s">
        <v>25</v>
      </c>
      <c r="B12" s="5" t="s">
        <v>17</v>
      </c>
      <c r="C12" s="5" t="s">
        <v>18</v>
      </c>
      <c r="D12" s="6" t="s">
        <v>19</v>
      </c>
      <c r="E12" s="5" t="s">
        <v>15</v>
      </c>
      <c r="F12" s="3">
        <v>422280</v>
      </c>
      <c r="G12" s="3">
        <v>1759611</v>
      </c>
      <c r="H12" s="3">
        <v>0</v>
      </c>
      <c r="I12" s="3">
        <v>0</v>
      </c>
      <c r="J12" s="3">
        <v>46254.23</v>
      </c>
      <c r="K12" s="3">
        <v>0</v>
      </c>
      <c r="L12" s="3">
        <v>2228145.23</v>
      </c>
    </row>
    <row r="13" spans="1:12" x14ac:dyDescent="0.25">
      <c r="A13" s="8" t="s">
        <v>27</v>
      </c>
      <c r="B13" s="5" t="s">
        <v>17</v>
      </c>
      <c r="C13" s="5" t="s">
        <v>18</v>
      </c>
      <c r="D13" s="6" t="s">
        <v>21</v>
      </c>
      <c r="E13" s="5" t="s">
        <v>15</v>
      </c>
      <c r="F13" s="3">
        <v>1477612</v>
      </c>
      <c r="G13" s="3">
        <v>148161.48000000001</v>
      </c>
      <c r="H13" s="3">
        <v>0</v>
      </c>
      <c r="I13" s="3">
        <v>0</v>
      </c>
      <c r="J13" s="3">
        <v>0</v>
      </c>
      <c r="K13" s="3">
        <v>0</v>
      </c>
      <c r="L13" s="3">
        <v>1625773.48</v>
      </c>
    </row>
    <row r="14" spans="1:12" x14ac:dyDescent="0.25">
      <c r="A14" s="5" t="s">
        <v>32</v>
      </c>
      <c r="B14" s="5" t="s">
        <v>17</v>
      </c>
      <c r="C14" s="5" t="s">
        <v>33</v>
      </c>
      <c r="D14" s="6">
        <v>0</v>
      </c>
      <c r="E14" s="5" t="s">
        <v>34</v>
      </c>
      <c r="F14" s="5">
        <v>0</v>
      </c>
      <c r="G14" s="5">
        <v>0</v>
      </c>
      <c r="H14" s="5">
        <v>0</v>
      </c>
      <c r="I14" s="5">
        <v>0</v>
      </c>
      <c r="J14" s="5">
        <v>1478936.96</v>
      </c>
      <c r="K14" s="5">
        <v>0</v>
      </c>
      <c r="L14" s="3">
        <v>1478936.96</v>
      </c>
    </row>
    <row r="15" spans="1:12" x14ac:dyDescent="0.25">
      <c r="A15" s="8" t="s">
        <v>35</v>
      </c>
      <c r="B15" s="5" t="s">
        <v>17</v>
      </c>
      <c r="C15" s="5" t="s">
        <v>18</v>
      </c>
      <c r="D15" s="6" t="s">
        <v>19</v>
      </c>
      <c r="E15" s="5" t="s">
        <v>15</v>
      </c>
      <c r="F15" s="3">
        <v>0</v>
      </c>
      <c r="G15" s="3">
        <v>0</v>
      </c>
      <c r="H15" s="3">
        <v>51366</v>
      </c>
      <c r="I15" s="3">
        <v>0</v>
      </c>
      <c r="J15" s="7">
        <v>1369387.17</v>
      </c>
      <c r="K15" s="3">
        <v>0</v>
      </c>
      <c r="L15" s="3">
        <v>1420753.17</v>
      </c>
    </row>
    <row r="16" spans="1:12" x14ac:dyDescent="0.25">
      <c r="A16" s="8" t="s">
        <v>43</v>
      </c>
      <c r="B16" s="5" t="s">
        <v>17</v>
      </c>
      <c r="C16" s="5" t="s">
        <v>18</v>
      </c>
      <c r="D16" s="6" t="s">
        <v>19</v>
      </c>
      <c r="E16" s="5" t="s">
        <v>15</v>
      </c>
      <c r="F16" s="3">
        <v>782958.75</v>
      </c>
      <c r="G16" s="3">
        <v>469284</v>
      </c>
      <c r="H16" s="3">
        <v>91160</v>
      </c>
      <c r="I16" s="3">
        <v>75962.509999999995</v>
      </c>
      <c r="J16" s="3">
        <v>0</v>
      </c>
      <c r="K16" s="3">
        <v>0</v>
      </c>
      <c r="L16" s="3">
        <v>1419365.26</v>
      </c>
    </row>
    <row r="17" spans="1:12" x14ac:dyDescent="0.25">
      <c r="A17" s="8" t="s">
        <v>58</v>
      </c>
      <c r="B17" s="5" t="s">
        <v>17</v>
      </c>
      <c r="C17" s="5" t="s">
        <v>18</v>
      </c>
      <c r="D17" s="6" t="s">
        <v>19</v>
      </c>
      <c r="E17" s="5" t="s">
        <v>15</v>
      </c>
      <c r="F17" s="3">
        <v>1408066.22</v>
      </c>
      <c r="G17" s="3">
        <v>4388.07</v>
      </c>
      <c r="H17" s="3">
        <v>0</v>
      </c>
      <c r="I17" s="3">
        <v>0</v>
      </c>
      <c r="J17" s="3">
        <v>0</v>
      </c>
      <c r="K17" s="3">
        <v>0</v>
      </c>
      <c r="L17" s="3">
        <v>1412454.29</v>
      </c>
    </row>
    <row r="18" spans="1:12" x14ac:dyDescent="0.25">
      <c r="A18" s="8" t="s">
        <v>322</v>
      </c>
      <c r="B18" s="5" t="e">
        <v>#N/A</v>
      </c>
      <c r="C18" s="5" t="e">
        <v>#N/A</v>
      </c>
      <c r="D18" s="6">
        <v>0</v>
      </c>
      <c r="E18" s="5" t="e">
        <v>#N/A</v>
      </c>
      <c r="F18" s="3">
        <v>0</v>
      </c>
      <c r="G18" s="3">
        <v>1223686.21</v>
      </c>
      <c r="H18" s="3">
        <v>175454.5</v>
      </c>
      <c r="I18" s="3">
        <v>0</v>
      </c>
      <c r="J18" s="3">
        <v>0</v>
      </c>
      <c r="K18" s="3">
        <v>0</v>
      </c>
      <c r="L18" s="3">
        <v>1399140.71</v>
      </c>
    </row>
    <row r="19" spans="1:12" x14ac:dyDescent="0.25">
      <c r="A19" s="5" t="s">
        <v>49</v>
      </c>
      <c r="B19" s="5" t="s">
        <v>17</v>
      </c>
      <c r="C19" s="5" t="s">
        <v>18</v>
      </c>
      <c r="D19" s="6" t="s">
        <v>19</v>
      </c>
      <c r="E19" s="5" t="s">
        <v>15</v>
      </c>
      <c r="F19" s="5">
        <v>800232.92</v>
      </c>
      <c r="G19" s="5">
        <v>29350</v>
      </c>
      <c r="H19" s="5">
        <v>557422.66</v>
      </c>
      <c r="I19" s="5">
        <v>0</v>
      </c>
      <c r="J19" s="5">
        <v>200.78</v>
      </c>
      <c r="K19" s="5">
        <v>0</v>
      </c>
      <c r="L19" s="3">
        <v>1387206.36</v>
      </c>
    </row>
    <row r="20" spans="1:12" x14ac:dyDescent="0.25">
      <c r="A20" s="8" t="s">
        <v>56</v>
      </c>
      <c r="B20" s="5" t="s">
        <v>17</v>
      </c>
      <c r="C20" s="5" t="s">
        <v>18</v>
      </c>
      <c r="D20" s="6" t="s">
        <v>31</v>
      </c>
      <c r="E20" s="5" t="s">
        <v>15</v>
      </c>
      <c r="F20" s="3">
        <v>582800</v>
      </c>
      <c r="G20" s="3">
        <v>132110</v>
      </c>
      <c r="H20" s="3">
        <v>278437.96000000002</v>
      </c>
      <c r="I20" s="3">
        <v>0</v>
      </c>
      <c r="J20" s="3">
        <v>227050</v>
      </c>
      <c r="K20" s="3">
        <v>0</v>
      </c>
      <c r="L20" s="3">
        <v>1220397.96</v>
      </c>
    </row>
    <row r="21" spans="1:12" x14ac:dyDescent="0.25">
      <c r="A21" s="8" t="s">
        <v>52</v>
      </c>
      <c r="B21" s="5" t="s">
        <v>17</v>
      </c>
      <c r="C21" s="5" t="s">
        <v>18</v>
      </c>
      <c r="D21" s="6" t="s">
        <v>19</v>
      </c>
      <c r="E21" s="5" t="s">
        <v>15</v>
      </c>
      <c r="F21" s="3">
        <v>715076.37</v>
      </c>
      <c r="G21" s="3">
        <v>381241.94</v>
      </c>
      <c r="H21" s="3">
        <v>60970.1</v>
      </c>
      <c r="I21" s="3">
        <v>2.15</v>
      </c>
      <c r="J21" s="3">
        <v>19.95</v>
      </c>
      <c r="K21" s="3">
        <v>0</v>
      </c>
      <c r="L21" s="3">
        <v>1157310.51</v>
      </c>
    </row>
    <row r="22" spans="1:12" x14ac:dyDescent="0.25">
      <c r="A22" s="8" t="s">
        <v>44</v>
      </c>
      <c r="B22" s="5" t="s">
        <v>17</v>
      </c>
      <c r="C22" s="5" t="s">
        <v>18</v>
      </c>
      <c r="D22" s="6" t="s">
        <v>31</v>
      </c>
      <c r="E22" s="5" t="s">
        <v>15</v>
      </c>
      <c r="F22" s="3">
        <v>108057.25</v>
      </c>
      <c r="G22" s="3">
        <v>134100</v>
      </c>
      <c r="H22" s="3">
        <v>320187.3</v>
      </c>
      <c r="I22" s="3">
        <v>0</v>
      </c>
      <c r="J22" s="3">
        <v>416516.24</v>
      </c>
      <c r="K22" s="3">
        <v>0</v>
      </c>
      <c r="L22" s="3">
        <v>978860.79</v>
      </c>
    </row>
    <row r="23" spans="1:12" x14ac:dyDescent="0.25">
      <c r="A23" s="8" t="s">
        <v>54</v>
      </c>
      <c r="B23" s="5" t="s">
        <v>17</v>
      </c>
      <c r="C23" s="5" t="s">
        <v>18</v>
      </c>
      <c r="D23" s="6" t="s">
        <v>31</v>
      </c>
      <c r="E23" s="5" t="s">
        <v>15</v>
      </c>
      <c r="F23" s="3">
        <v>384820</v>
      </c>
      <c r="G23" s="3">
        <v>455594.5</v>
      </c>
      <c r="H23" s="3">
        <v>54977.45</v>
      </c>
      <c r="I23" s="3">
        <v>0</v>
      </c>
      <c r="J23" s="3">
        <v>0</v>
      </c>
      <c r="K23" s="3">
        <v>0</v>
      </c>
      <c r="L23" s="3">
        <v>895391.95</v>
      </c>
    </row>
    <row r="24" spans="1:12" x14ac:dyDescent="0.25">
      <c r="A24" s="8" t="s">
        <v>60</v>
      </c>
      <c r="B24" s="5" t="s">
        <v>17</v>
      </c>
      <c r="C24" s="5" t="s">
        <v>18</v>
      </c>
      <c r="D24" s="6" t="s">
        <v>21</v>
      </c>
      <c r="E24" s="5" t="s">
        <v>15</v>
      </c>
      <c r="F24" s="3">
        <v>767382.2</v>
      </c>
      <c r="G24" s="3">
        <v>66995.850000000006</v>
      </c>
      <c r="H24" s="3">
        <v>7855.5</v>
      </c>
      <c r="I24" s="3">
        <v>0</v>
      </c>
      <c r="J24" s="3">
        <v>0</v>
      </c>
      <c r="K24" s="3">
        <v>0</v>
      </c>
      <c r="L24" s="3">
        <v>842233.54999999993</v>
      </c>
    </row>
    <row r="25" spans="1:12" x14ac:dyDescent="0.25">
      <c r="A25" s="5" t="s">
        <v>65</v>
      </c>
      <c r="B25" s="5" t="s">
        <v>17</v>
      </c>
      <c r="C25" s="5" t="s">
        <v>37</v>
      </c>
      <c r="D25" s="6" t="s">
        <v>38</v>
      </c>
      <c r="E25" s="5" t="s">
        <v>15</v>
      </c>
      <c r="F25" s="5">
        <v>0</v>
      </c>
      <c r="G25" s="5">
        <v>837760.74</v>
      </c>
      <c r="H25" s="5">
        <v>0</v>
      </c>
      <c r="I25" s="5">
        <v>0</v>
      </c>
      <c r="J25" s="5">
        <v>0</v>
      </c>
      <c r="K25" s="5">
        <v>0</v>
      </c>
      <c r="L25" s="3">
        <v>837760.74</v>
      </c>
    </row>
    <row r="26" spans="1:12" x14ac:dyDescent="0.25">
      <c r="A26" s="5" t="s">
        <v>55</v>
      </c>
      <c r="B26" s="5" t="s">
        <v>17</v>
      </c>
      <c r="C26" s="5" t="s">
        <v>18</v>
      </c>
      <c r="D26" s="6" t="s">
        <v>19</v>
      </c>
      <c r="E26" s="5" t="s">
        <v>15</v>
      </c>
      <c r="F26" s="5">
        <v>0</v>
      </c>
      <c r="G26" s="5">
        <v>6125</v>
      </c>
      <c r="H26" s="5">
        <v>178885</v>
      </c>
      <c r="I26" s="5">
        <v>0</v>
      </c>
      <c r="J26" s="5">
        <v>652132</v>
      </c>
      <c r="K26" s="5">
        <v>0</v>
      </c>
      <c r="L26" s="3">
        <v>837142</v>
      </c>
    </row>
    <row r="27" spans="1:12" x14ac:dyDescent="0.25">
      <c r="A27" s="8" t="s">
        <v>57</v>
      </c>
      <c r="B27" s="5" t="s">
        <v>17</v>
      </c>
      <c r="C27" s="5" t="s">
        <v>18</v>
      </c>
      <c r="D27" s="6">
        <v>0</v>
      </c>
      <c r="E27" s="5" t="s">
        <v>15</v>
      </c>
      <c r="F27" s="3">
        <v>148155</v>
      </c>
      <c r="G27" s="3">
        <v>297138.75</v>
      </c>
      <c r="H27" s="3">
        <v>387760.6</v>
      </c>
      <c r="I27" s="3">
        <v>0</v>
      </c>
      <c r="J27" s="3">
        <v>0</v>
      </c>
      <c r="K27" s="3">
        <v>0</v>
      </c>
      <c r="L27" s="3">
        <v>833054.35</v>
      </c>
    </row>
    <row r="28" spans="1:12" x14ac:dyDescent="0.25">
      <c r="A28" s="5" t="s">
        <v>42</v>
      </c>
      <c r="B28" s="5">
        <v>0</v>
      </c>
      <c r="C28" s="5" t="s">
        <v>14</v>
      </c>
      <c r="D28" s="6">
        <v>0</v>
      </c>
      <c r="E28" s="5" t="s">
        <v>41</v>
      </c>
      <c r="F28" s="5">
        <v>50890</v>
      </c>
      <c r="G28" s="5">
        <v>389565</v>
      </c>
      <c r="H28" s="5">
        <v>160492.38</v>
      </c>
      <c r="I28" s="5">
        <v>175495.51</v>
      </c>
      <c r="J28" s="5">
        <v>45691.05</v>
      </c>
      <c r="K28" s="5">
        <v>0</v>
      </c>
      <c r="L28" s="3">
        <v>822133.94000000006</v>
      </c>
    </row>
    <row r="29" spans="1:12" x14ac:dyDescent="0.25">
      <c r="A29" s="5" t="s">
        <v>50</v>
      </c>
      <c r="B29" s="5" t="s">
        <v>46</v>
      </c>
      <c r="C29" s="5" t="s">
        <v>18</v>
      </c>
      <c r="D29" s="6" t="s">
        <v>21</v>
      </c>
      <c r="E29" s="5" t="s">
        <v>51</v>
      </c>
      <c r="F29" s="5">
        <v>701539.69</v>
      </c>
      <c r="G29" s="5">
        <v>0</v>
      </c>
      <c r="H29" s="5">
        <v>392.5</v>
      </c>
      <c r="I29" s="5">
        <v>0</v>
      </c>
      <c r="J29" s="5">
        <v>88.6</v>
      </c>
      <c r="K29" s="5">
        <v>0</v>
      </c>
      <c r="L29" s="3">
        <v>702020.78999999992</v>
      </c>
    </row>
    <row r="30" spans="1:12" x14ac:dyDescent="0.25">
      <c r="A30" s="5" t="s">
        <v>59</v>
      </c>
      <c r="B30" s="5" t="s">
        <v>17</v>
      </c>
      <c r="C30" s="5" t="s">
        <v>18</v>
      </c>
      <c r="D30" s="6" t="s">
        <v>31</v>
      </c>
      <c r="E30" s="5" t="s">
        <v>15</v>
      </c>
      <c r="F30" s="5">
        <v>205901.1</v>
      </c>
      <c r="G30" s="5">
        <v>433476</v>
      </c>
      <c r="H30" s="5">
        <v>0</v>
      </c>
      <c r="I30" s="5">
        <v>0</v>
      </c>
      <c r="J30" s="5">
        <v>0</v>
      </c>
      <c r="K30" s="5">
        <v>0</v>
      </c>
      <c r="L30" s="3">
        <v>639377.1</v>
      </c>
    </row>
    <row r="31" spans="1:12" x14ac:dyDescent="0.25">
      <c r="A31" s="5" t="s">
        <v>69</v>
      </c>
      <c r="B31" s="5" t="s">
        <v>46</v>
      </c>
      <c r="C31" s="5" t="s">
        <v>18</v>
      </c>
      <c r="D31" s="6" t="s">
        <v>21</v>
      </c>
      <c r="E31" s="5" t="s">
        <v>51</v>
      </c>
      <c r="F31" s="5">
        <v>311680</v>
      </c>
      <c r="G31" s="5">
        <v>0</v>
      </c>
      <c r="H31" s="5">
        <v>30277.25</v>
      </c>
      <c r="I31" s="5">
        <v>0</v>
      </c>
      <c r="J31" s="5">
        <v>256211.48</v>
      </c>
      <c r="K31" s="5">
        <v>0</v>
      </c>
      <c r="L31" s="3">
        <v>598168.73</v>
      </c>
    </row>
    <row r="32" spans="1:12" x14ac:dyDescent="0.25">
      <c r="A32" s="8" t="s">
        <v>61</v>
      </c>
      <c r="B32" s="5" t="s">
        <v>17</v>
      </c>
      <c r="C32" s="5" t="s">
        <v>18</v>
      </c>
      <c r="D32" s="6" t="s">
        <v>21</v>
      </c>
      <c r="E32" s="5" t="s">
        <v>15</v>
      </c>
      <c r="F32" s="3">
        <v>0</v>
      </c>
      <c r="G32" s="3">
        <v>0</v>
      </c>
      <c r="H32" s="3">
        <v>0</v>
      </c>
      <c r="I32" s="3">
        <v>0</v>
      </c>
      <c r="J32" s="3">
        <v>538980.74</v>
      </c>
      <c r="K32" s="3">
        <v>0</v>
      </c>
      <c r="L32" s="3">
        <v>538980.74</v>
      </c>
    </row>
    <row r="33" spans="1:12" x14ac:dyDescent="0.25">
      <c r="A33" s="5" t="s">
        <v>76</v>
      </c>
      <c r="B33" s="5" t="s">
        <v>17</v>
      </c>
      <c r="C33" s="5" t="s">
        <v>18</v>
      </c>
      <c r="D33" s="6" t="s">
        <v>21</v>
      </c>
      <c r="E33" s="5" t="s">
        <v>15</v>
      </c>
      <c r="F33" s="5">
        <v>480863.53</v>
      </c>
      <c r="G33" s="5">
        <v>47735.61</v>
      </c>
      <c r="H33" s="5">
        <v>0</v>
      </c>
      <c r="I33" s="5">
        <v>0</v>
      </c>
      <c r="J33" s="5">
        <v>0</v>
      </c>
      <c r="K33" s="5">
        <v>0</v>
      </c>
      <c r="L33" s="3">
        <v>528599.14</v>
      </c>
    </row>
    <row r="34" spans="1:12" x14ac:dyDescent="0.25">
      <c r="A34" s="8" t="s">
        <v>62</v>
      </c>
      <c r="B34" s="5" t="s">
        <v>17</v>
      </c>
      <c r="C34" s="5" t="s">
        <v>33</v>
      </c>
      <c r="D34" s="6">
        <v>0</v>
      </c>
      <c r="E34" s="5" t="s">
        <v>48</v>
      </c>
      <c r="F34" s="3">
        <v>0</v>
      </c>
      <c r="G34" s="3">
        <v>0</v>
      </c>
      <c r="H34" s="3">
        <v>0</v>
      </c>
      <c r="I34" s="3">
        <v>0</v>
      </c>
      <c r="J34" s="3">
        <v>515589.97</v>
      </c>
      <c r="K34" s="3">
        <v>0</v>
      </c>
      <c r="L34" s="3">
        <v>515589.97</v>
      </c>
    </row>
    <row r="35" spans="1:12" x14ac:dyDescent="0.25">
      <c r="A35" s="8" t="s">
        <v>36</v>
      </c>
      <c r="B35" s="5">
        <v>0</v>
      </c>
      <c r="C35" s="5" t="s">
        <v>37</v>
      </c>
      <c r="D35" s="6" t="s">
        <v>38</v>
      </c>
      <c r="E35" s="5" t="s">
        <v>39</v>
      </c>
      <c r="F35" s="3">
        <v>0</v>
      </c>
      <c r="G35" s="3">
        <v>514976</v>
      </c>
      <c r="H35" s="3">
        <v>-34.200000000000003</v>
      </c>
      <c r="I35" s="3">
        <v>0</v>
      </c>
      <c r="J35" s="7">
        <v>0</v>
      </c>
      <c r="K35" s="3">
        <v>0</v>
      </c>
      <c r="L35" s="3">
        <v>514941.8</v>
      </c>
    </row>
    <row r="36" spans="1:12" x14ac:dyDescent="0.25">
      <c r="A36" s="8" t="s">
        <v>63</v>
      </c>
      <c r="B36" s="5" t="s">
        <v>17</v>
      </c>
      <c r="C36" s="5" t="s">
        <v>14</v>
      </c>
      <c r="D36" s="6" t="s">
        <v>38</v>
      </c>
      <c r="E36" s="5" t="s">
        <v>15</v>
      </c>
      <c r="F36" s="3">
        <v>0</v>
      </c>
      <c r="G36" s="3">
        <v>5667.89</v>
      </c>
      <c r="H36" s="3">
        <v>487719</v>
      </c>
      <c r="I36" s="3">
        <v>0</v>
      </c>
      <c r="J36" s="3">
        <v>0</v>
      </c>
      <c r="K36" s="3">
        <v>0</v>
      </c>
      <c r="L36" s="3">
        <v>493386.89</v>
      </c>
    </row>
    <row r="37" spans="1:12" x14ac:dyDescent="0.25">
      <c r="A37" s="5" t="s">
        <v>66</v>
      </c>
      <c r="B37" s="5" t="s">
        <v>17</v>
      </c>
      <c r="C37" s="5" t="s">
        <v>18</v>
      </c>
      <c r="D37" s="6" t="s">
        <v>19</v>
      </c>
      <c r="E37" s="5" t="s">
        <v>15</v>
      </c>
      <c r="F37" s="5">
        <v>0</v>
      </c>
      <c r="G37" s="5">
        <v>0</v>
      </c>
      <c r="H37" s="5">
        <v>0</v>
      </c>
      <c r="I37" s="5">
        <v>0</v>
      </c>
      <c r="J37" s="5">
        <v>408176.14</v>
      </c>
      <c r="K37" s="5">
        <v>0</v>
      </c>
      <c r="L37" s="3">
        <v>408176.14</v>
      </c>
    </row>
    <row r="38" spans="1:12" x14ac:dyDescent="0.25">
      <c r="A38" s="8" t="s">
        <v>53</v>
      </c>
      <c r="B38" s="5" t="s">
        <v>46</v>
      </c>
      <c r="C38" s="5" t="s">
        <v>18</v>
      </c>
      <c r="D38" s="6" t="s">
        <v>31</v>
      </c>
      <c r="E38" s="5" t="s">
        <v>51</v>
      </c>
      <c r="F38" s="3">
        <v>779581.01</v>
      </c>
      <c r="G38" s="3">
        <v>-383008.8</v>
      </c>
      <c r="H38" s="3">
        <v>0</v>
      </c>
      <c r="I38" s="3">
        <v>0</v>
      </c>
      <c r="J38" s="3">
        <v>644.66999999999996</v>
      </c>
      <c r="K38" s="3">
        <v>0</v>
      </c>
      <c r="L38" s="3">
        <v>397216.88</v>
      </c>
    </row>
    <row r="39" spans="1:12" x14ac:dyDescent="0.25">
      <c r="A39" s="5" t="s">
        <v>80</v>
      </c>
      <c r="B39" s="5" t="s">
        <v>17</v>
      </c>
      <c r="C39" s="5" t="s">
        <v>18</v>
      </c>
      <c r="D39" s="6" t="s">
        <v>21</v>
      </c>
      <c r="E39" s="5" t="s">
        <v>15</v>
      </c>
      <c r="F39" s="5">
        <v>252514.18</v>
      </c>
      <c r="G39" s="5">
        <v>0</v>
      </c>
      <c r="H39" s="5">
        <v>22032.9</v>
      </c>
      <c r="I39" s="5">
        <v>107008.7</v>
      </c>
      <c r="J39" s="5">
        <v>1.1000000000000001</v>
      </c>
      <c r="K39" s="5">
        <v>0</v>
      </c>
      <c r="L39" s="3">
        <v>381556.88</v>
      </c>
    </row>
    <row r="40" spans="1:12" x14ac:dyDescent="0.25">
      <c r="A40" s="5" t="s">
        <v>73</v>
      </c>
      <c r="B40" s="5" t="s">
        <v>17</v>
      </c>
      <c r="C40" s="5" t="s">
        <v>18</v>
      </c>
      <c r="D40" s="6" t="s">
        <v>19</v>
      </c>
      <c r="E40" s="5" t="s">
        <v>15</v>
      </c>
      <c r="F40" s="5">
        <v>192848.5</v>
      </c>
      <c r="G40" s="5">
        <v>12607</v>
      </c>
      <c r="H40" s="5">
        <v>62442.7</v>
      </c>
      <c r="I40" s="5">
        <v>0</v>
      </c>
      <c r="J40" s="5">
        <v>96706.42</v>
      </c>
      <c r="K40" s="5">
        <v>0</v>
      </c>
      <c r="L40" s="3">
        <v>364604.62</v>
      </c>
    </row>
    <row r="41" spans="1:12" x14ac:dyDescent="0.25">
      <c r="A41" s="8" t="s">
        <v>67</v>
      </c>
      <c r="B41" s="5" t="s">
        <v>17</v>
      </c>
      <c r="C41" s="5" t="s">
        <v>14</v>
      </c>
      <c r="D41" s="6" t="s">
        <v>68</v>
      </c>
      <c r="E41" s="5" t="s">
        <v>15</v>
      </c>
      <c r="F41" s="3">
        <v>0</v>
      </c>
      <c r="G41" s="3">
        <v>0</v>
      </c>
      <c r="H41" s="3">
        <v>0</v>
      </c>
      <c r="I41" s="3">
        <v>0</v>
      </c>
      <c r="J41" s="3">
        <v>363946.82</v>
      </c>
      <c r="K41" s="3">
        <v>0</v>
      </c>
      <c r="L41" s="3">
        <v>363946.82</v>
      </c>
    </row>
    <row r="42" spans="1:12" x14ac:dyDescent="0.25">
      <c r="A42" s="5" t="s">
        <v>74</v>
      </c>
      <c r="B42" s="5" t="s">
        <v>17</v>
      </c>
      <c r="C42" s="5" t="s">
        <v>18</v>
      </c>
      <c r="D42" s="6" t="s">
        <v>21</v>
      </c>
      <c r="E42" s="5" t="s">
        <v>15</v>
      </c>
      <c r="F42" s="5">
        <v>108702.6</v>
      </c>
      <c r="G42" s="5">
        <v>0</v>
      </c>
      <c r="H42" s="5">
        <v>0</v>
      </c>
      <c r="I42" s="5">
        <v>0</v>
      </c>
      <c r="J42" s="5">
        <v>248874.02</v>
      </c>
      <c r="K42" s="5">
        <v>0</v>
      </c>
      <c r="L42" s="3">
        <v>357576.62</v>
      </c>
    </row>
    <row r="43" spans="1:12" x14ac:dyDescent="0.25">
      <c r="A43" s="8" t="s">
        <v>45</v>
      </c>
      <c r="B43" s="5" t="s">
        <v>46</v>
      </c>
      <c r="C43" s="5" t="s">
        <v>18</v>
      </c>
      <c r="D43" s="6" t="s">
        <v>47</v>
      </c>
      <c r="E43" s="5" t="s">
        <v>48</v>
      </c>
      <c r="F43" s="3">
        <v>673256.14</v>
      </c>
      <c r="G43" s="3">
        <v>-321079.78999999998</v>
      </c>
      <c r="H43" s="3">
        <v>-1.1100000000000001</v>
      </c>
      <c r="I43" s="3">
        <v>0</v>
      </c>
      <c r="J43" s="3">
        <v>0</v>
      </c>
      <c r="K43" s="3">
        <v>0</v>
      </c>
      <c r="L43" s="3">
        <v>352175.24</v>
      </c>
    </row>
    <row r="44" spans="1:12" x14ac:dyDescent="0.25">
      <c r="A44" s="5" t="s">
        <v>348</v>
      </c>
      <c r="B44" s="5" t="e">
        <v>#N/A</v>
      </c>
      <c r="C44" s="5" t="e">
        <v>#N/A</v>
      </c>
      <c r="D44" s="6" t="e">
        <v>#N/A</v>
      </c>
      <c r="E44" s="5" t="e">
        <v>#N/A</v>
      </c>
      <c r="F44" s="5">
        <v>0</v>
      </c>
      <c r="G44" s="5">
        <v>350144.04</v>
      </c>
      <c r="H44" s="5">
        <v>0</v>
      </c>
      <c r="I44" s="5">
        <v>0</v>
      </c>
      <c r="J44" s="5">
        <v>0</v>
      </c>
      <c r="K44" s="5">
        <v>0</v>
      </c>
      <c r="L44" s="3">
        <v>350144.04</v>
      </c>
    </row>
    <row r="45" spans="1:12" x14ac:dyDescent="0.25">
      <c r="A45" s="5" t="s">
        <v>72</v>
      </c>
      <c r="B45" s="5" t="s">
        <v>17</v>
      </c>
      <c r="C45" s="5" t="s">
        <v>18</v>
      </c>
      <c r="D45" s="6" t="s">
        <v>31</v>
      </c>
      <c r="E45" s="5" t="s">
        <v>15</v>
      </c>
      <c r="F45" s="5">
        <v>0</v>
      </c>
      <c r="G45" s="5">
        <v>342355</v>
      </c>
      <c r="H45" s="5">
        <v>0</v>
      </c>
      <c r="I45" s="5">
        <v>0</v>
      </c>
      <c r="J45" s="5">
        <v>0</v>
      </c>
      <c r="K45" s="5">
        <v>0</v>
      </c>
      <c r="L45" s="3">
        <v>342355</v>
      </c>
    </row>
    <row r="46" spans="1:12" x14ac:dyDescent="0.25">
      <c r="A46" s="5" t="s">
        <v>75</v>
      </c>
      <c r="B46" s="5" t="s">
        <v>17</v>
      </c>
      <c r="C46" s="5" t="s">
        <v>18</v>
      </c>
      <c r="D46" s="6" t="s">
        <v>31</v>
      </c>
      <c r="E46" s="5" t="s">
        <v>15</v>
      </c>
      <c r="F46" s="5">
        <v>118702.5</v>
      </c>
      <c r="G46" s="5">
        <v>133624.82</v>
      </c>
      <c r="H46" s="5">
        <v>86122.18</v>
      </c>
      <c r="I46" s="5">
        <v>561.63</v>
      </c>
      <c r="J46" s="9">
        <v>3009.81</v>
      </c>
      <c r="K46" s="5">
        <v>0</v>
      </c>
      <c r="L46" s="3">
        <v>342020.94</v>
      </c>
    </row>
    <row r="47" spans="1:12" x14ac:dyDescent="0.25">
      <c r="A47" s="8" t="s">
        <v>87</v>
      </c>
      <c r="B47" s="5" t="s">
        <v>17</v>
      </c>
      <c r="C47" s="5" t="s">
        <v>18</v>
      </c>
      <c r="D47" s="6" t="s">
        <v>19</v>
      </c>
      <c r="E47" s="5" t="s">
        <v>15</v>
      </c>
      <c r="F47" s="3">
        <v>191519.4</v>
      </c>
      <c r="G47" s="3">
        <v>149421</v>
      </c>
      <c r="H47" s="3">
        <v>0</v>
      </c>
      <c r="I47" s="3">
        <v>-113340</v>
      </c>
      <c r="J47" s="3">
        <v>113340</v>
      </c>
      <c r="K47" s="3">
        <v>0</v>
      </c>
      <c r="L47" s="3">
        <v>340940.4</v>
      </c>
    </row>
    <row r="48" spans="1:12" x14ac:dyDescent="0.25">
      <c r="A48" s="8" t="s">
        <v>78</v>
      </c>
      <c r="B48" s="5" t="s">
        <v>46</v>
      </c>
      <c r="C48" s="5" t="s">
        <v>18</v>
      </c>
      <c r="D48" s="6" t="s">
        <v>31</v>
      </c>
      <c r="E48" s="5" t="s">
        <v>79</v>
      </c>
      <c r="F48" s="3">
        <v>0</v>
      </c>
      <c r="G48" s="3">
        <v>264000</v>
      </c>
      <c r="H48" s="3">
        <v>0</v>
      </c>
      <c r="I48" s="3">
        <v>0</v>
      </c>
      <c r="J48" s="3">
        <v>36173.51</v>
      </c>
      <c r="K48" s="3">
        <v>0</v>
      </c>
      <c r="L48" s="3">
        <v>300173.51</v>
      </c>
    </row>
    <row r="49" spans="1:12" x14ac:dyDescent="0.25">
      <c r="A49" s="8" t="s">
        <v>81</v>
      </c>
      <c r="B49" s="5" t="s">
        <v>17</v>
      </c>
      <c r="C49" s="5" t="s">
        <v>37</v>
      </c>
      <c r="D49" s="6" t="s">
        <v>38</v>
      </c>
      <c r="E49" s="5" t="s">
        <v>15</v>
      </c>
      <c r="F49" s="3">
        <v>0</v>
      </c>
      <c r="G49" s="3">
        <v>280185.75</v>
      </c>
      <c r="H49" s="3">
        <v>0</v>
      </c>
      <c r="I49" s="3">
        <v>0</v>
      </c>
      <c r="J49" s="3">
        <v>0</v>
      </c>
      <c r="K49" s="3">
        <v>0</v>
      </c>
      <c r="L49" s="3">
        <v>280185.75</v>
      </c>
    </row>
    <row r="50" spans="1:12" x14ac:dyDescent="0.25">
      <c r="A50" s="5" t="s">
        <v>28</v>
      </c>
      <c r="B50" s="5" t="s">
        <v>17</v>
      </c>
      <c r="C50" s="5" t="s">
        <v>18</v>
      </c>
      <c r="D50" s="6" t="s">
        <v>29</v>
      </c>
      <c r="E50" s="5" t="s">
        <v>15</v>
      </c>
      <c r="F50" s="5">
        <v>216525.64</v>
      </c>
      <c r="G50" s="5">
        <v>33107.769999999997</v>
      </c>
      <c r="H50" s="5">
        <v>0</v>
      </c>
      <c r="I50" s="5">
        <v>22223.47</v>
      </c>
      <c r="J50" s="5">
        <v>0</v>
      </c>
      <c r="K50" s="5">
        <v>0</v>
      </c>
      <c r="L50" s="3">
        <v>271856.88</v>
      </c>
    </row>
    <row r="51" spans="1:12" x14ac:dyDescent="0.25">
      <c r="A51" s="8" t="s">
        <v>82</v>
      </c>
      <c r="B51" s="5" t="s">
        <v>17</v>
      </c>
      <c r="C51" s="5" t="s">
        <v>33</v>
      </c>
      <c r="D51" s="6">
        <v>0</v>
      </c>
      <c r="E51" s="5" t="s">
        <v>51</v>
      </c>
      <c r="F51" s="3">
        <v>0</v>
      </c>
      <c r="G51" s="3">
        <v>0</v>
      </c>
      <c r="H51" s="3">
        <v>0</v>
      </c>
      <c r="I51" s="3">
        <v>0</v>
      </c>
      <c r="J51" s="3">
        <v>257197.93</v>
      </c>
      <c r="K51" s="3">
        <v>0</v>
      </c>
      <c r="L51" s="3">
        <v>257197.93</v>
      </c>
    </row>
    <row r="52" spans="1:12" x14ac:dyDescent="0.25">
      <c r="A52" s="8" t="s">
        <v>86</v>
      </c>
      <c r="B52" s="5" t="s">
        <v>17</v>
      </c>
      <c r="C52" s="5" t="s">
        <v>18</v>
      </c>
      <c r="D52" s="6" t="s">
        <v>19</v>
      </c>
      <c r="E52" s="5" t="s">
        <v>15</v>
      </c>
      <c r="F52" s="3">
        <v>66514</v>
      </c>
      <c r="G52" s="3">
        <v>75275</v>
      </c>
      <c r="H52" s="3">
        <v>41115.47</v>
      </c>
      <c r="I52" s="3">
        <v>52660</v>
      </c>
      <c r="J52" s="3">
        <v>19632.72</v>
      </c>
      <c r="K52" s="3">
        <v>0</v>
      </c>
      <c r="L52" s="3">
        <v>255197.19</v>
      </c>
    </row>
    <row r="53" spans="1:12" x14ac:dyDescent="0.25">
      <c r="A53" s="8" t="s">
        <v>83</v>
      </c>
      <c r="B53" s="5" t="s">
        <v>17</v>
      </c>
      <c r="C53" s="5" t="s">
        <v>14</v>
      </c>
      <c r="D53" s="6">
        <v>0</v>
      </c>
      <c r="E53" s="5" t="s">
        <v>15</v>
      </c>
      <c r="F53" s="3">
        <v>44640</v>
      </c>
      <c r="G53" s="3">
        <v>127750</v>
      </c>
      <c r="H53" s="3">
        <v>70381.5</v>
      </c>
      <c r="I53" s="3">
        <v>0</v>
      </c>
      <c r="J53" s="3">
        <v>6853.66</v>
      </c>
      <c r="K53" s="3">
        <v>0</v>
      </c>
      <c r="L53" s="3">
        <v>249625.16</v>
      </c>
    </row>
    <row r="54" spans="1:12" x14ac:dyDescent="0.25">
      <c r="A54" s="8" t="s">
        <v>71</v>
      </c>
      <c r="B54" s="5" t="s">
        <v>17</v>
      </c>
      <c r="C54" s="5" t="s">
        <v>18</v>
      </c>
      <c r="D54" s="6" t="s">
        <v>31</v>
      </c>
      <c r="E54" s="5" t="s">
        <v>15</v>
      </c>
      <c r="F54" s="3">
        <v>144377</v>
      </c>
      <c r="G54" s="3">
        <v>0</v>
      </c>
      <c r="H54" s="3">
        <v>79511.850000000006</v>
      </c>
      <c r="I54" s="3">
        <v>-14366</v>
      </c>
      <c r="J54" s="3">
        <v>34685</v>
      </c>
      <c r="K54" s="3">
        <v>0</v>
      </c>
      <c r="L54" s="3">
        <v>244207.85</v>
      </c>
    </row>
    <row r="55" spans="1:12" x14ac:dyDescent="0.25">
      <c r="A55" s="5" t="s">
        <v>85</v>
      </c>
      <c r="B55" s="5" t="s">
        <v>46</v>
      </c>
      <c r="C55" s="5" t="s">
        <v>18</v>
      </c>
      <c r="D55" s="6" t="s">
        <v>19</v>
      </c>
      <c r="E55" s="5" t="s">
        <v>51</v>
      </c>
      <c r="F55" s="5">
        <v>66569.850000000006</v>
      </c>
      <c r="G55" s="5">
        <v>137794.01999999999</v>
      </c>
      <c r="H55" s="5">
        <v>0</v>
      </c>
      <c r="I55" s="5">
        <v>0</v>
      </c>
      <c r="J55" s="5">
        <v>32765</v>
      </c>
      <c r="K55" s="5">
        <v>0</v>
      </c>
      <c r="L55" s="3">
        <v>237128.87</v>
      </c>
    </row>
    <row r="56" spans="1:12" x14ac:dyDescent="0.25">
      <c r="A56" s="5" t="s">
        <v>95</v>
      </c>
      <c r="B56" s="5" t="s">
        <v>17</v>
      </c>
      <c r="C56" s="5" t="s">
        <v>18</v>
      </c>
      <c r="D56" s="6" t="s">
        <v>47</v>
      </c>
      <c r="E56" s="5" t="s">
        <v>15</v>
      </c>
      <c r="F56" s="5">
        <v>236200</v>
      </c>
      <c r="G56" s="5">
        <v>0</v>
      </c>
      <c r="H56" s="5">
        <v>94</v>
      </c>
      <c r="I56" s="5">
        <v>0</v>
      </c>
      <c r="J56" s="5">
        <v>1.4</v>
      </c>
      <c r="K56" s="5">
        <v>0</v>
      </c>
      <c r="L56" s="3">
        <v>236295.4</v>
      </c>
    </row>
    <row r="57" spans="1:12" x14ac:dyDescent="0.25">
      <c r="A57" s="5" t="s">
        <v>88</v>
      </c>
      <c r="B57" s="5" t="s">
        <v>17</v>
      </c>
      <c r="C57" s="5" t="s">
        <v>14</v>
      </c>
      <c r="D57" s="6">
        <v>0</v>
      </c>
      <c r="E57" s="5" t="s">
        <v>15</v>
      </c>
      <c r="F57" s="5">
        <v>0</v>
      </c>
      <c r="G57" s="5">
        <v>280</v>
      </c>
      <c r="H57" s="5">
        <v>0</v>
      </c>
      <c r="I57" s="5">
        <v>0</v>
      </c>
      <c r="J57" s="5">
        <v>179336.25</v>
      </c>
      <c r="K57" s="5">
        <v>0</v>
      </c>
      <c r="L57" s="3">
        <v>179616.25</v>
      </c>
    </row>
    <row r="58" spans="1:12" x14ac:dyDescent="0.25">
      <c r="A58" s="8" t="s">
        <v>64</v>
      </c>
      <c r="B58" s="5" t="s">
        <v>17</v>
      </c>
      <c r="C58" s="5" t="s">
        <v>18</v>
      </c>
      <c r="D58" s="6" t="s">
        <v>21</v>
      </c>
      <c r="E58" s="5" t="s">
        <v>15</v>
      </c>
      <c r="F58" s="3">
        <v>283331.76</v>
      </c>
      <c r="G58" s="3">
        <v>-207247.85</v>
      </c>
      <c r="H58" s="3">
        <v>103415.65</v>
      </c>
      <c r="I58" s="3">
        <v>0</v>
      </c>
      <c r="J58" s="3">
        <v>0</v>
      </c>
      <c r="K58" s="3">
        <v>0</v>
      </c>
      <c r="L58" s="3">
        <v>179499.56</v>
      </c>
    </row>
    <row r="59" spans="1:12" x14ac:dyDescent="0.25">
      <c r="A59" s="8" t="s">
        <v>96</v>
      </c>
      <c r="B59" s="5" t="s">
        <v>17</v>
      </c>
      <c r="C59" s="5" t="s">
        <v>33</v>
      </c>
      <c r="D59" s="6" t="s">
        <v>31</v>
      </c>
      <c r="E59" s="5" t="s">
        <v>51</v>
      </c>
      <c r="F59" s="3">
        <v>0</v>
      </c>
      <c r="G59" s="3">
        <v>0</v>
      </c>
      <c r="H59" s="3">
        <v>0</v>
      </c>
      <c r="I59" s="3">
        <v>0</v>
      </c>
      <c r="J59" s="3">
        <v>161595.95000000001</v>
      </c>
      <c r="K59" s="3">
        <v>0</v>
      </c>
      <c r="L59" s="3">
        <v>161595.95000000001</v>
      </c>
    </row>
    <row r="60" spans="1:12" x14ac:dyDescent="0.25">
      <c r="A60" s="8" t="s">
        <v>97</v>
      </c>
      <c r="B60" s="5" t="s">
        <v>46</v>
      </c>
      <c r="C60" s="5" t="s">
        <v>18</v>
      </c>
      <c r="D60" s="6" t="s">
        <v>98</v>
      </c>
      <c r="E60" s="5" t="s">
        <v>34</v>
      </c>
      <c r="F60" s="3">
        <v>0</v>
      </c>
      <c r="G60" s="3">
        <v>0</v>
      </c>
      <c r="H60" s="3">
        <v>0</v>
      </c>
      <c r="I60" s="3">
        <v>0</v>
      </c>
      <c r="J60" s="3">
        <v>160893.96</v>
      </c>
      <c r="K60" s="3">
        <v>0</v>
      </c>
      <c r="L60" s="3">
        <v>160893.96</v>
      </c>
    </row>
    <row r="61" spans="1:12" x14ac:dyDescent="0.25">
      <c r="A61" s="8" t="s">
        <v>99</v>
      </c>
      <c r="B61" s="5">
        <v>0</v>
      </c>
      <c r="C61" s="5" t="s">
        <v>18</v>
      </c>
      <c r="D61" s="6" t="s">
        <v>21</v>
      </c>
      <c r="E61" s="5" t="s">
        <v>15</v>
      </c>
      <c r="F61" s="3">
        <v>126787.88</v>
      </c>
      <c r="G61" s="3">
        <v>0</v>
      </c>
      <c r="H61" s="3">
        <v>0</v>
      </c>
      <c r="I61" s="3">
        <v>-24565.49</v>
      </c>
      <c r="J61" s="3">
        <v>57323.48</v>
      </c>
      <c r="K61" s="3">
        <v>0</v>
      </c>
      <c r="L61" s="3">
        <v>159545.87</v>
      </c>
    </row>
    <row r="62" spans="1:12" x14ac:dyDescent="0.25">
      <c r="A62" s="5" t="s">
        <v>94</v>
      </c>
      <c r="B62" s="5" t="s">
        <v>17</v>
      </c>
      <c r="C62" s="5" t="s">
        <v>18</v>
      </c>
      <c r="D62" s="6" t="s">
        <v>19</v>
      </c>
      <c r="E62" s="5" t="s">
        <v>15</v>
      </c>
      <c r="F62" s="5">
        <v>206692.25</v>
      </c>
      <c r="G62" s="5">
        <v>-50000</v>
      </c>
      <c r="H62" s="5">
        <v>0</v>
      </c>
      <c r="I62" s="5">
        <v>0</v>
      </c>
      <c r="J62" s="5">
        <v>1.7</v>
      </c>
      <c r="K62" s="5">
        <v>0</v>
      </c>
      <c r="L62" s="3">
        <v>156693.95000000001</v>
      </c>
    </row>
    <row r="63" spans="1:12" x14ac:dyDescent="0.25">
      <c r="A63" s="8" t="s">
        <v>102</v>
      </c>
      <c r="B63" s="5" t="s">
        <v>17</v>
      </c>
      <c r="C63" s="5" t="s">
        <v>18</v>
      </c>
      <c r="D63" s="6" t="s">
        <v>19</v>
      </c>
      <c r="E63" s="5" t="s">
        <v>15</v>
      </c>
      <c r="F63" s="3">
        <v>0</v>
      </c>
      <c r="G63" s="3">
        <v>118768</v>
      </c>
      <c r="H63" s="3">
        <v>0</v>
      </c>
      <c r="I63" s="3">
        <v>0</v>
      </c>
      <c r="J63" s="10">
        <v>30545.9</v>
      </c>
      <c r="K63" s="3">
        <v>0</v>
      </c>
      <c r="L63" s="3">
        <v>149313.9</v>
      </c>
    </row>
    <row r="64" spans="1:12" x14ac:dyDescent="0.25">
      <c r="A64" s="5" t="s">
        <v>70</v>
      </c>
      <c r="B64" s="5" t="s">
        <v>17</v>
      </c>
      <c r="C64" s="5" t="s">
        <v>18</v>
      </c>
      <c r="D64" s="6" t="s">
        <v>21</v>
      </c>
      <c r="E64" s="5" t="s">
        <v>15</v>
      </c>
      <c r="F64" s="5">
        <v>143634.47</v>
      </c>
      <c r="G64" s="5">
        <v>-66238.64</v>
      </c>
      <c r="H64" s="5">
        <v>66240.09</v>
      </c>
      <c r="I64" s="5">
        <v>0</v>
      </c>
      <c r="J64" s="5">
        <v>1945.79</v>
      </c>
      <c r="K64" s="5">
        <v>0</v>
      </c>
      <c r="L64" s="3">
        <v>145581.71</v>
      </c>
    </row>
    <row r="65" spans="1:12" x14ac:dyDescent="0.25">
      <c r="A65" s="8" t="s">
        <v>111</v>
      </c>
      <c r="B65" s="5" t="s">
        <v>17</v>
      </c>
      <c r="C65" s="5" t="s">
        <v>18</v>
      </c>
      <c r="D65" s="6" t="s">
        <v>21</v>
      </c>
      <c r="E65" s="5" t="s">
        <v>15</v>
      </c>
      <c r="F65" s="3">
        <v>122122.89</v>
      </c>
      <c r="G65" s="3">
        <v>1.25</v>
      </c>
      <c r="H65" s="3">
        <v>0</v>
      </c>
      <c r="I65" s="3">
        <v>0</v>
      </c>
      <c r="J65" s="3">
        <v>12144.61</v>
      </c>
      <c r="K65" s="3">
        <v>0</v>
      </c>
      <c r="L65" s="3">
        <v>134268.75</v>
      </c>
    </row>
    <row r="66" spans="1:12" x14ac:dyDescent="0.25">
      <c r="A66" s="5" t="s">
        <v>119</v>
      </c>
      <c r="B66" s="5" t="s">
        <v>17</v>
      </c>
      <c r="C66" s="5" t="s">
        <v>37</v>
      </c>
      <c r="D66" s="6" t="s">
        <v>38</v>
      </c>
      <c r="E66" s="5" t="s">
        <v>15</v>
      </c>
      <c r="F66" s="5">
        <v>0</v>
      </c>
      <c r="G66" s="5">
        <v>90292.2</v>
      </c>
      <c r="H66" s="5">
        <v>42595.49</v>
      </c>
      <c r="I66" s="5">
        <v>0</v>
      </c>
      <c r="J66" s="5">
        <v>0</v>
      </c>
      <c r="K66" s="5">
        <v>0</v>
      </c>
      <c r="L66" s="3">
        <v>132887.69</v>
      </c>
    </row>
    <row r="67" spans="1:12" x14ac:dyDescent="0.25">
      <c r="A67" s="8" t="s">
        <v>104</v>
      </c>
      <c r="B67" s="5" t="s">
        <v>17</v>
      </c>
      <c r="C67" s="5" t="s">
        <v>37</v>
      </c>
      <c r="D67" s="6" t="s">
        <v>38</v>
      </c>
      <c r="E67" s="5" t="s">
        <v>15</v>
      </c>
      <c r="F67" s="3">
        <v>0</v>
      </c>
      <c r="G67" s="3">
        <v>0</v>
      </c>
      <c r="H67" s="3">
        <v>0</v>
      </c>
      <c r="I67" s="3">
        <v>0</v>
      </c>
      <c r="J67" s="3">
        <v>118115.35</v>
      </c>
      <c r="K67" s="3">
        <v>0</v>
      </c>
      <c r="L67" s="3">
        <v>118115.35</v>
      </c>
    </row>
    <row r="68" spans="1:12" x14ac:dyDescent="0.25">
      <c r="A68" s="5" t="s">
        <v>90</v>
      </c>
      <c r="B68" s="5" t="s">
        <v>17</v>
      </c>
      <c r="C68" s="5" t="s">
        <v>37</v>
      </c>
      <c r="D68" s="6" t="s">
        <v>38</v>
      </c>
      <c r="E68" s="5" t="s">
        <v>15</v>
      </c>
      <c r="F68" s="5">
        <v>0</v>
      </c>
      <c r="G68" s="5">
        <v>103820.68</v>
      </c>
      <c r="H68" s="5">
        <v>91</v>
      </c>
      <c r="I68" s="5">
        <v>0</v>
      </c>
      <c r="J68" s="5">
        <v>0</v>
      </c>
      <c r="K68" s="5">
        <v>0</v>
      </c>
      <c r="L68" s="3">
        <v>103911.67999999999</v>
      </c>
    </row>
    <row r="69" spans="1:12" x14ac:dyDescent="0.25">
      <c r="A69" s="5" t="s">
        <v>107</v>
      </c>
      <c r="B69" s="5" t="s">
        <v>46</v>
      </c>
      <c r="C69" s="5" t="s">
        <v>18</v>
      </c>
      <c r="D69" s="6" t="s">
        <v>31</v>
      </c>
      <c r="E69" s="5" t="s">
        <v>51</v>
      </c>
      <c r="F69" s="5">
        <v>0</v>
      </c>
      <c r="G69" s="5">
        <v>96940</v>
      </c>
      <c r="H69" s="5">
        <v>0</v>
      </c>
      <c r="I69" s="5">
        <v>0</v>
      </c>
      <c r="J69" s="5">
        <v>5019.63</v>
      </c>
      <c r="K69" s="5">
        <v>0</v>
      </c>
      <c r="L69" s="3">
        <v>101959.63</v>
      </c>
    </row>
    <row r="70" spans="1:12" x14ac:dyDescent="0.25">
      <c r="A70" s="5" t="s">
        <v>113</v>
      </c>
      <c r="B70" s="5" t="s">
        <v>17</v>
      </c>
      <c r="C70" s="5" t="s">
        <v>18</v>
      </c>
      <c r="D70" s="6" t="s">
        <v>21</v>
      </c>
      <c r="E70" s="5" t="s">
        <v>15</v>
      </c>
      <c r="F70" s="5">
        <v>100120.99</v>
      </c>
      <c r="G70" s="5">
        <v>0</v>
      </c>
      <c r="H70" s="5">
        <v>0</v>
      </c>
      <c r="I70" s="5">
        <v>-101025.05</v>
      </c>
      <c r="J70" s="5">
        <v>101025.4</v>
      </c>
      <c r="K70" s="5">
        <v>0</v>
      </c>
      <c r="L70" s="3">
        <v>100121.34</v>
      </c>
    </row>
    <row r="71" spans="1:12" x14ac:dyDescent="0.25">
      <c r="A71" s="8" t="s">
        <v>306</v>
      </c>
      <c r="B71" s="5" t="s">
        <v>17</v>
      </c>
      <c r="C71" s="5" t="s">
        <v>14</v>
      </c>
      <c r="D71" s="6">
        <v>0</v>
      </c>
      <c r="E71" s="5" t="s">
        <v>15</v>
      </c>
      <c r="F71" s="3">
        <v>0</v>
      </c>
      <c r="G71" s="3">
        <v>465500</v>
      </c>
      <c r="H71" s="3">
        <v>-365479</v>
      </c>
      <c r="I71" s="3">
        <v>0</v>
      </c>
      <c r="J71" s="3">
        <v>0</v>
      </c>
      <c r="K71" s="3">
        <v>0</v>
      </c>
      <c r="L71" s="3">
        <v>100021</v>
      </c>
    </row>
    <row r="72" spans="1:12" x14ac:dyDescent="0.25">
      <c r="A72" s="8" t="s">
        <v>129</v>
      </c>
      <c r="B72" s="5" t="s">
        <v>17</v>
      </c>
      <c r="C72" s="5" t="s">
        <v>37</v>
      </c>
      <c r="D72" s="6" t="s">
        <v>38</v>
      </c>
      <c r="E72" s="5" t="s">
        <v>15</v>
      </c>
      <c r="F72" s="3">
        <v>0</v>
      </c>
      <c r="G72" s="3">
        <v>93264.78</v>
      </c>
      <c r="H72" s="3">
        <v>0</v>
      </c>
      <c r="I72" s="3">
        <v>0</v>
      </c>
      <c r="J72" s="3">
        <v>0</v>
      </c>
      <c r="K72" s="3">
        <v>0</v>
      </c>
      <c r="L72" s="3">
        <v>93264.78</v>
      </c>
    </row>
    <row r="73" spans="1:12" x14ac:dyDescent="0.25">
      <c r="A73" s="5" t="s">
        <v>109</v>
      </c>
      <c r="B73" s="5" t="s">
        <v>17</v>
      </c>
      <c r="C73" s="5" t="s">
        <v>18</v>
      </c>
      <c r="D73" s="6" t="s">
        <v>19</v>
      </c>
      <c r="E73" s="5" t="s">
        <v>15</v>
      </c>
      <c r="F73" s="5">
        <v>0</v>
      </c>
      <c r="G73" s="5">
        <v>0</v>
      </c>
      <c r="H73" s="5">
        <v>0</v>
      </c>
      <c r="I73" s="5">
        <v>0</v>
      </c>
      <c r="J73" s="5">
        <v>90199.4</v>
      </c>
      <c r="K73" s="5">
        <v>0</v>
      </c>
      <c r="L73" s="3">
        <v>90199.4</v>
      </c>
    </row>
    <row r="74" spans="1:12" x14ac:dyDescent="0.25">
      <c r="A74" s="8" t="s">
        <v>131</v>
      </c>
      <c r="B74" s="5" t="s">
        <v>46</v>
      </c>
      <c r="C74" s="5" t="s">
        <v>18</v>
      </c>
      <c r="D74" s="6" t="s">
        <v>19</v>
      </c>
      <c r="E74" s="5" t="s">
        <v>79</v>
      </c>
      <c r="F74" s="3">
        <v>34887.18</v>
      </c>
      <c r="G74" s="3">
        <v>12350</v>
      </c>
      <c r="H74" s="3">
        <v>0</v>
      </c>
      <c r="I74" s="3">
        <v>0</v>
      </c>
      <c r="J74" s="3">
        <v>38659.54</v>
      </c>
      <c r="K74" s="3">
        <v>0</v>
      </c>
      <c r="L74" s="3">
        <v>85896.72</v>
      </c>
    </row>
    <row r="75" spans="1:12" x14ac:dyDescent="0.25">
      <c r="A75" s="8" t="s">
        <v>101</v>
      </c>
      <c r="B75" s="5" t="s">
        <v>46</v>
      </c>
      <c r="C75" s="5" t="s">
        <v>37</v>
      </c>
      <c r="D75" s="6" t="s">
        <v>38</v>
      </c>
      <c r="E75" s="5" t="s">
        <v>79</v>
      </c>
      <c r="F75" s="3">
        <v>34561.699999999997</v>
      </c>
      <c r="G75" s="3">
        <v>-74439.649999999994</v>
      </c>
      <c r="H75" s="3">
        <v>0</v>
      </c>
      <c r="I75" s="3">
        <v>0</v>
      </c>
      <c r="J75" s="3">
        <v>124438.12</v>
      </c>
      <c r="K75" s="3">
        <v>0</v>
      </c>
      <c r="L75" s="3">
        <v>84560.17</v>
      </c>
    </row>
    <row r="76" spans="1:12" x14ac:dyDescent="0.25">
      <c r="A76" s="8" t="s">
        <v>77</v>
      </c>
      <c r="B76" s="5" t="s">
        <v>17</v>
      </c>
      <c r="C76" s="5" t="s">
        <v>37</v>
      </c>
      <c r="D76" s="6" t="s">
        <v>38</v>
      </c>
      <c r="E76" s="5" t="s">
        <v>15</v>
      </c>
      <c r="F76" s="3">
        <v>33981.800000000003</v>
      </c>
      <c r="G76" s="3">
        <v>-247522.07</v>
      </c>
      <c r="H76" s="3">
        <v>296744.26</v>
      </c>
      <c r="I76" s="3">
        <v>0</v>
      </c>
      <c r="J76" s="3">
        <v>8.6300000000000008</v>
      </c>
      <c r="K76" s="3">
        <v>0</v>
      </c>
      <c r="L76" s="3">
        <v>83212.62000000001</v>
      </c>
    </row>
    <row r="77" spans="1:12" x14ac:dyDescent="0.25">
      <c r="A77" s="5" t="s">
        <v>84</v>
      </c>
      <c r="B77" s="5" t="s">
        <v>17</v>
      </c>
      <c r="C77" s="5" t="s">
        <v>37</v>
      </c>
      <c r="D77" s="6" t="s">
        <v>38</v>
      </c>
      <c r="E77" s="5" t="s">
        <v>51</v>
      </c>
      <c r="F77" s="5">
        <v>0</v>
      </c>
      <c r="G77" s="5">
        <v>-168337.8</v>
      </c>
      <c r="H77" s="5">
        <v>169859.1</v>
      </c>
      <c r="I77" s="5">
        <v>73306.5</v>
      </c>
      <c r="J77" s="5">
        <v>0</v>
      </c>
      <c r="K77" s="5">
        <v>0</v>
      </c>
      <c r="L77" s="3">
        <v>74827.800000000017</v>
      </c>
    </row>
    <row r="78" spans="1:12" x14ac:dyDescent="0.25">
      <c r="A78" s="5" t="s">
        <v>183</v>
      </c>
      <c r="B78" s="5" t="s">
        <v>46</v>
      </c>
      <c r="C78" s="5" t="s">
        <v>37</v>
      </c>
      <c r="D78" s="6" t="s">
        <v>38</v>
      </c>
      <c r="E78" s="5" t="s">
        <v>79</v>
      </c>
      <c r="F78" s="5">
        <v>0</v>
      </c>
      <c r="G78" s="5">
        <v>74454.55</v>
      </c>
      <c r="H78" s="5">
        <v>0</v>
      </c>
      <c r="I78" s="5">
        <v>341.45</v>
      </c>
      <c r="J78" s="5">
        <v>0</v>
      </c>
      <c r="K78" s="5">
        <v>0</v>
      </c>
      <c r="L78" s="3">
        <v>74796</v>
      </c>
    </row>
    <row r="79" spans="1:12" x14ac:dyDescent="0.25">
      <c r="A79" s="8" t="s">
        <v>117</v>
      </c>
      <c r="B79" s="5" t="s">
        <v>17</v>
      </c>
      <c r="C79" s="5" t="s">
        <v>18</v>
      </c>
      <c r="D79" s="6">
        <v>0</v>
      </c>
      <c r="E79" s="5" t="s">
        <v>15</v>
      </c>
      <c r="F79" s="3">
        <v>73900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73900</v>
      </c>
    </row>
    <row r="80" spans="1:12" x14ac:dyDescent="0.25">
      <c r="A80" s="8" t="s">
        <v>118</v>
      </c>
      <c r="B80" s="5" t="s">
        <v>17</v>
      </c>
      <c r="C80" s="5" t="s">
        <v>37</v>
      </c>
      <c r="D80" s="6" t="s">
        <v>38</v>
      </c>
      <c r="E80" s="5" t="s">
        <v>15</v>
      </c>
      <c r="F80" s="3">
        <v>0</v>
      </c>
      <c r="G80" s="3">
        <v>0</v>
      </c>
      <c r="H80" s="3">
        <v>67725</v>
      </c>
      <c r="I80" s="3">
        <v>1245</v>
      </c>
      <c r="J80" s="3">
        <v>0</v>
      </c>
      <c r="K80" s="3">
        <v>0</v>
      </c>
      <c r="L80" s="3">
        <v>68970</v>
      </c>
    </row>
    <row r="81" spans="1:12" x14ac:dyDescent="0.25">
      <c r="A81" s="8" t="s">
        <v>112</v>
      </c>
      <c r="B81" s="5">
        <v>0</v>
      </c>
      <c r="C81" s="5" t="s">
        <v>37</v>
      </c>
      <c r="D81" s="6" t="s">
        <v>38</v>
      </c>
      <c r="E81" s="5" t="s">
        <v>15</v>
      </c>
      <c r="F81" s="3">
        <v>0</v>
      </c>
      <c r="G81" s="3">
        <v>86232</v>
      </c>
      <c r="H81" s="3">
        <v>-17917.900000000001</v>
      </c>
      <c r="I81" s="3">
        <v>0</v>
      </c>
      <c r="J81" s="3">
        <v>0</v>
      </c>
      <c r="K81" s="3">
        <v>0</v>
      </c>
      <c r="L81" s="3">
        <v>68314.100000000006</v>
      </c>
    </row>
    <row r="82" spans="1:12" x14ac:dyDescent="0.25">
      <c r="A82" s="5" t="s">
        <v>124</v>
      </c>
      <c r="B82" s="5" t="s">
        <v>17</v>
      </c>
      <c r="C82" s="5" t="s">
        <v>37</v>
      </c>
      <c r="D82" s="6" t="s">
        <v>38</v>
      </c>
      <c r="E82" s="5" t="s">
        <v>15</v>
      </c>
      <c r="F82" s="5">
        <v>0</v>
      </c>
      <c r="G82" s="5">
        <v>6937</v>
      </c>
      <c r="H82" s="5">
        <v>25092.5</v>
      </c>
      <c r="I82" s="5">
        <v>17342.5</v>
      </c>
      <c r="J82" s="5">
        <v>17342.5</v>
      </c>
      <c r="K82" s="5">
        <v>0</v>
      </c>
      <c r="L82" s="3">
        <v>66714.5</v>
      </c>
    </row>
    <row r="83" spans="1:12" x14ac:dyDescent="0.25">
      <c r="A83" s="8" t="s">
        <v>323</v>
      </c>
      <c r="B83" s="5" t="s">
        <v>46</v>
      </c>
      <c r="C83" s="5" t="s">
        <v>37</v>
      </c>
      <c r="D83" s="6" t="s">
        <v>38</v>
      </c>
      <c r="E83" s="5" t="s">
        <v>51</v>
      </c>
      <c r="F83" s="3">
        <v>0</v>
      </c>
      <c r="G83" s="3">
        <v>65178.7</v>
      </c>
      <c r="H83" s="3">
        <v>0.7</v>
      </c>
      <c r="I83" s="3">
        <v>0</v>
      </c>
      <c r="J83" s="3">
        <v>0</v>
      </c>
      <c r="K83" s="3">
        <v>0</v>
      </c>
      <c r="L83" s="3">
        <v>65179.399999999987</v>
      </c>
    </row>
    <row r="84" spans="1:12" x14ac:dyDescent="0.25">
      <c r="A84" s="5" t="s">
        <v>121</v>
      </c>
      <c r="B84" s="5" t="s">
        <v>46</v>
      </c>
      <c r="C84" s="5" t="s">
        <v>37</v>
      </c>
      <c r="D84" s="6" t="s">
        <v>38</v>
      </c>
      <c r="E84" s="5" t="s">
        <v>51</v>
      </c>
      <c r="F84" s="5">
        <v>0</v>
      </c>
      <c r="G84" s="5">
        <v>0</v>
      </c>
      <c r="H84" s="5">
        <v>0</v>
      </c>
      <c r="I84" s="5">
        <v>0</v>
      </c>
      <c r="J84" s="5">
        <v>64142.23</v>
      </c>
      <c r="K84" s="5">
        <v>0</v>
      </c>
      <c r="L84" s="3">
        <v>64142.23</v>
      </c>
    </row>
    <row r="85" spans="1:12" x14ac:dyDescent="0.25">
      <c r="A85" s="5" t="s">
        <v>110</v>
      </c>
      <c r="B85" s="5" t="s">
        <v>46</v>
      </c>
      <c r="C85" s="5" t="s">
        <v>37</v>
      </c>
      <c r="D85" s="6" t="s">
        <v>38</v>
      </c>
      <c r="E85" s="5" t="s">
        <v>51</v>
      </c>
      <c r="F85" s="5">
        <v>0</v>
      </c>
      <c r="G85" s="5">
        <v>62700</v>
      </c>
      <c r="H85" s="5">
        <v>0</v>
      </c>
      <c r="I85" s="5">
        <v>0</v>
      </c>
      <c r="J85" s="3">
        <v>0</v>
      </c>
      <c r="K85" s="5">
        <v>0</v>
      </c>
      <c r="L85" s="3">
        <v>62700</v>
      </c>
    </row>
    <row r="86" spans="1:12" x14ac:dyDescent="0.25">
      <c r="A86" s="8" t="s">
        <v>123</v>
      </c>
      <c r="B86" s="5" t="s">
        <v>17</v>
      </c>
      <c r="C86" s="5" t="s">
        <v>18</v>
      </c>
      <c r="D86" s="6">
        <v>0</v>
      </c>
      <c r="E86" s="5" t="s">
        <v>15</v>
      </c>
      <c r="F86" s="3">
        <v>45744.72</v>
      </c>
      <c r="G86" s="3">
        <v>14383.6</v>
      </c>
      <c r="H86" s="3">
        <v>0</v>
      </c>
      <c r="I86" s="3">
        <v>0</v>
      </c>
      <c r="J86" s="3">
        <v>0</v>
      </c>
      <c r="K86" s="3">
        <v>0</v>
      </c>
      <c r="L86" s="3">
        <v>60128.32</v>
      </c>
    </row>
    <row r="87" spans="1:12" x14ac:dyDescent="0.25">
      <c r="A87" s="8" t="s">
        <v>114</v>
      </c>
      <c r="B87" s="5" t="s">
        <v>46</v>
      </c>
      <c r="C87" s="5" t="s">
        <v>37</v>
      </c>
      <c r="D87" s="6" t="s">
        <v>38</v>
      </c>
      <c r="E87" s="5" t="s">
        <v>51</v>
      </c>
      <c r="F87" s="3">
        <v>0</v>
      </c>
      <c r="G87" s="3">
        <v>59077.3</v>
      </c>
      <c r="H87" s="3">
        <v>0</v>
      </c>
      <c r="I87" s="3">
        <v>74.3</v>
      </c>
      <c r="J87" s="3">
        <v>0</v>
      </c>
      <c r="K87" s="3">
        <v>0</v>
      </c>
      <c r="L87" s="3">
        <v>59151.600000000013</v>
      </c>
    </row>
    <row r="88" spans="1:12" x14ac:dyDescent="0.25">
      <c r="A88" s="8" t="s">
        <v>128</v>
      </c>
      <c r="B88" s="5">
        <v>0</v>
      </c>
      <c r="C88" s="5" t="s">
        <v>37</v>
      </c>
      <c r="D88" s="6" t="s">
        <v>38</v>
      </c>
      <c r="E88" s="5">
        <v>0</v>
      </c>
      <c r="F88" s="3">
        <v>0</v>
      </c>
      <c r="G88" s="3">
        <v>0</v>
      </c>
      <c r="H88" s="3">
        <v>0</v>
      </c>
      <c r="I88" s="3">
        <v>0</v>
      </c>
      <c r="J88" s="3">
        <v>55000</v>
      </c>
      <c r="K88" s="3">
        <v>0</v>
      </c>
      <c r="L88" s="3">
        <v>55000</v>
      </c>
    </row>
    <row r="89" spans="1:12" x14ac:dyDescent="0.25">
      <c r="A89" s="8" t="s">
        <v>267</v>
      </c>
      <c r="B89" s="5" t="s">
        <v>46</v>
      </c>
      <c r="C89" s="5" t="s">
        <v>37</v>
      </c>
      <c r="D89" s="6" t="e">
        <v>#N/A</v>
      </c>
      <c r="E89" s="5" t="s">
        <v>51</v>
      </c>
      <c r="F89" s="3">
        <v>0</v>
      </c>
      <c r="G89" s="3">
        <v>47441.25</v>
      </c>
      <c r="H89" s="3">
        <v>0</v>
      </c>
      <c r="I89" s="3">
        <v>0</v>
      </c>
      <c r="J89" s="3">
        <v>3825</v>
      </c>
      <c r="K89" s="3">
        <v>0</v>
      </c>
      <c r="L89" s="3">
        <v>51266.25</v>
      </c>
    </row>
    <row r="90" spans="1:12" x14ac:dyDescent="0.25">
      <c r="A90" s="5" t="s">
        <v>133</v>
      </c>
      <c r="B90" s="5" t="s">
        <v>17</v>
      </c>
      <c r="C90" s="5" t="s">
        <v>37</v>
      </c>
      <c r="D90" s="6" t="s">
        <v>38</v>
      </c>
      <c r="E90" s="5" t="s">
        <v>15</v>
      </c>
      <c r="F90" s="5">
        <v>0</v>
      </c>
      <c r="G90" s="5">
        <v>0</v>
      </c>
      <c r="H90" s="5">
        <v>150</v>
      </c>
      <c r="I90" s="5">
        <v>0</v>
      </c>
      <c r="J90" s="5">
        <v>50000</v>
      </c>
      <c r="K90" s="5">
        <v>0</v>
      </c>
      <c r="L90" s="3">
        <v>50150</v>
      </c>
    </row>
    <row r="91" spans="1:12" x14ac:dyDescent="0.25">
      <c r="A91" s="8" t="s">
        <v>342</v>
      </c>
      <c r="B91" s="5" t="s">
        <v>46</v>
      </c>
      <c r="C91" s="5" t="s">
        <v>37</v>
      </c>
      <c r="D91" s="6" t="e">
        <v>#N/A</v>
      </c>
      <c r="E91" s="5" t="s">
        <v>79</v>
      </c>
      <c r="F91" s="3">
        <v>0</v>
      </c>
      <c r="G91" s="3">
        <v>49487.09</v>
      </c>
      <c r="H91" s="3">
        <v>0</v>
      </c>
      <c r="I91" s="3">
        <v>0</v>
      </c>
      <c r="J91" s="3">
        <v>0</v>
      </c>
      <c r="K91" s="3">
        <v>0</v>
      </c>
      <c r="L91" s="3">
        <v>49487.09</v>
      </c>
    </row>
    <row r="92" spans="1:12" x14ac:dyDescent="0.25">
      <c r="A92" s="8" t="s">
        <v>125</v>
      </c>
      <c r="B92" s="5" t="s">
        <v>46</v>
      </c>
      <c r="C92" s="5" t="s">
        <v>18</v>
      </c>
      <c r="D92" s="6" t="s">
        <v>126</v>
      </c>
      <c r="E92" s="5" t="s">
        <v>127</v>
      </c>
      <c r="F92" s="3">
        <v>12638</v>
      </c>
      <c r="G92" s="3">
        <v>8452.66</v>
      </c>
      <c r="H92" s="3">
        <v>27686</v>
      </c>
      <c r="I92" s="3">
        <v>0.45</v>
      </c>
      <c r="J92" s="3">
        <v>0</v>
      </c>
      <c r="K92" s="3">
        <v>0</v>
      </c>
      <c r="L92" s="3">
        <v>48777.11</v>
      </c>
    </row>
    <row r="93" spans="1:12" x14ac:dyDescent="0.25">
      <c r="A93" s="5" t="s">
        <v>163</v>
      </c>
      <c r="B93" s="5" t="s">
        <v>46</v>
      </c>
      <c r="C93" s="5" t="s">
        <v>18</v>
      </c>
      <c r="D93" s="6" t="s">
        <v>29</v>
      </c>
      <c r="E93" s="5" t="s">
        <v>51</v>
      </c>
      <c r="F93" s="5">
        <v>29525.599999999999</v>
      </c>
      <c r="G93" s="5">
        <v>12371.24</v>
      </c>
      <c r="H93" s="5">
        <v>6560</v>
      </c>
      <c r="I93" s="5">
        <v>0</v>
      </c>
      <c r="J93" s="5">
        <v>0</v>
      </c>
      <c r="K93" s="5">
        <v>0</v>
      </c>
      <c r="L93" s="3">
        <v>48456.84</v>
      </c>
    </row>
    <row r="94" spans="1:12" x14ac:dyDescent="0.25">
      <c r="A94" s="5" t="s">
        <v>130</v>
      </c>
      <c r="B94" s="5" t="s">
        <v>46</v>
      </c>
      <c r="C94" s="5" t="s">
        <v>37</v>
      </c>
      <c r="D94" s="6" t="s">
        <v>38</v>
      </c>
      <c r="E94" s="5" t="s">
        <v>127</v>
      </c>
      <c r="F94" s="5">
        <v>0</v>
      </c>
      <c r="G94" s="5">
        <v>48430</v>
      </c>
      <c r="H94" s="5">
        <v>0</v>
      </c>
      <c r="I94" s="5">
        <v>0</v>
      </c>
      <c r="J94" s="5">
        <v>0</v>
      </c>
      <c r="K94" s="5">
        <v>0</v>
      </c>
      <c r="L94" s="3">
        <v>48430</v>
      </c>
    </row>
    <row r="95" spans="1:12" x14ac:dyDescent="0.25">
      <c r="A95" s="5" t="s">
        <v>139</v>
      </c>
      <c r="B95" s="5" t="s">
        <v>17</v>
      </c>
      <c r="C95" s="5" t="s">
        <v>37</v>
      </c>
      <c r="D95" s="6" t="s">
        <v>38</v>
      </c>
      <c r="E95" s="5" t="s">
        <v>15</v>
      </c>
      <c r="F95" s="5">
        <v>0</v>
      </c>
      <c r="G95" s="5">
        <v>15990</v>
      </c>
      <c r="H95" s="5">
        <v>11590</v>
      </c>
      <c r="I95" s="5">
        <v>9860</v>
      </c>
      <c r="J95" s="5">
        <v>9840</v>
      </c>
      <c r="K95" s="5">
        <v>0</v>
      </c>
      <c r="L95" s="3">
        <v>47280</v>
      </c>
    </row>
    <row r="96" spans="1:12" x14ac:dyDescent="0.25">
      <c r="A96" s="8" t="s">
        <v>106</v>
      </c>
      <c r="B96" s="5" t="s">
        <v>46</v>
      </c>
      <c r="C96" s="5" t="s">
        <v>18</v>
      </c>
      <c r="D96" s="6" t="s">
        <v>19</v>
      </c>
      <c r="E96" s="5" t="s">
        <v>34</v>
      </c>
      <c r="F96" s="3">
        <v>53315.68</v>
      </c>
      <c r="G96" s="3">
        <v>4253.28</v>
      </c>
      <c r="H96" s="3">
        <v>0</v>
      </c>
      <c r="I96" s="3">
        <v>-19433.28</v>
      </c>
      <c r="J96" s="3">
        <v>8894.7199999999993</v>
      </c>
      <c r="K96" s="3">
        <v>0</v>
      </c>
      <c r="L96" s="3">
        <v>47030.400000000001</v>
      </c>
    </row>
    <row r="97" spans="1:12" x14ac:dyDescent="0.25">
      <c r="A97" s="8" t="s">
        <v>116</v>
      </c>
      <c r="B97" s="5">
        <v>0</v>
      </c>
      <c r="C97" s="5" t="s">
        <v>37</v>
      </c>
      <c r="D97" s="6" t="s">
        <v>38</v>
      </c>
      <c r="E97" s="5" t="s">
        <v>15</v>
      </c>
      <c r="F97" s="3">
        <v>0</v>
      </c>
      <c r="G97" s="3">
        <v>0</v>
      </c>
      <c r="H97" s="3">
        <v>-22799</v>
      </c>
      <c r="I97" s="3">
        <v>49495</v>
      </c>
      <c r="J97" s="3">
        <v>18544.04</v>
      </c>
      <c r="K97" s="3">
        <v>0</v>
      </c>
      <c r="L97" s="3">
        <v>45240.04</v>
      </c>
    </row>
    <row r="98" spans="1:12" x14ac:dyDescent="0.25">
      <c r="A98" s="8" t="s">
        <v>136</v>
      </c>
      <c r="B98" s="5" t="s">
        <v>17</v>
      </c>
      <c r="C98" s="5" t="s">
        <v>14</v>
      </c>
      <c r="D98" s="6" t="s">
        <v>68</v>
      </c>
      <c r="E98" s="5" t="s">
        <v>15</v>
      </c>
      <c r="F98" s="3">
        <v>0</v>
      </c>
      <c r="G98" s="3">
        <v>0</v>
      </c>
      <c r="H98" s="3">
        <v>0</v>
      </c>
      <c r="I98" s="3">
        <v>0</v>
      </c>
      <c r="J98" s="3">
        <v>43564.56</v>
      </c>
      <c r="K98" s="3">
        <v>0</v>
      </c>
      <c r="L98" s="3">
        <v>43564.56</v>
      </c>
    </row>
    <row r="99" spans="1:12" x14ac:dyDescent="0.25">
      <c r="A99" s="8" t="s">
        <v>137</v>
      </c>
      <c r="B99" s="5" t="s">
        <v>46</v>
      </c>
      <c r="C99" s="5" t="s">
        <v>37</v>
      </c>
      <c r="D99" s="6" t="s">
        <v>38</v>
      </c>
      <c r="E99" s="5" t="s">
        <v>51</v>
      </c>
      <c r="F99" s="3">
        <v>0</v>
      </c>
      <c r="G99" s="3">
        <v>42250</v>
      </c>
      <c r="H99" s="3">
        <v>0</v>
      </c>
      <c r="I99" s="3">
        <v>0</v>
      </c>
      <c r="J99" s="3">
        <v>0</v>
      </c>
      <c r="K99" s="3">
        <v>0</v>
      </c>
      <c r="L99" s="3">
        <v>42250</v>
      </c>
    </row>
    <row r="100" spans="1:12" x14ac:dyDescent="0.25">
      <c r="A100" s="5" t="s">
        <v>138</v>
      </c>
      <c r="B100" s="5" t="s">
        <v>17</v>
      </c>
      <c r="C100" s="5" t="s">
        <v>14</v>
      </c>
      <c r="D100" s="6" t="s">
        <v>19</v>
      </c>
      <c r="E100" s="5" t="s">
        <v>41</v>
      </c>
      <c r="F100" s="5">
        <v>0</v>
      </c>
      <c r="G100" s="5">
        <v>0</v>
      </c>
      <c r="H100" s="5">
        <v>0</v>
      </c>
      <c r="I100" s="5">
        <v>0</v>
      </c>
      <c r="J100" s="5">
        <v>41766</v>
      </c>
      <c r="K100" s="5">
        <v>0</v>
      </c>
      <c r="L100" s="3">
        <v>41766</v>
      </c>
    </row>
    <row r="101" spans="1:12" x14ac:dyDescent="0.25">
      <c r="A101" s="8" t="s">
        <v>115</v>
      </c>
      <c r="B101" s="5" t="s">
        <v>17</v>
      </c>
      <c r="C101" s="5" t="s">
        <v>37</v>
      </c>
      <c r="D101" s="6" t="s">
        <v>38</v>
      </c>
      <c r="E101" s="5" t="s">
        <v>15</v>
      </c>
      <c r="F101" s="3">
        <v>9250</v>
      </c>
      <c r="G101" s="3">
        <v>28922.29</v>
      </c>
      <c r="H101" s="3">
        <v>2801.05</v>
      </c>
      <c r="I101" s="3">
        <v>0</v>
      </c>
      <c r="J101" s="3">
        <v>0</v>
      </c>
      <c r="K101" s="3">
        <v>0</v>
      </c>
      <c r="L101" s="3">
        <v>40973.339999999997</v>
      </c>
    </row>
    <row r="102" spans="1:12" x14ac:dyDescent="0.25">
      <c r="A102" s="8" t="s">
        <v>143</v>
      </c>
      <c r="B102" s="5" t="s">
        <v>46</v>
      </c>
      <c r="C102" s="5" t="s">
        <v>37</v>
      </c>
      <c r="D102" s="6" t="s">
        <v>38</v>
      </c>
      <c r="E102" s="5" t="s">
        <v>51</v>
      </c>
      <c r="F102" s="3">
        <v>0</v>
      </c>
      <c r="G102" s="3">
        <v>34960</v>
      </c>
      <c r="H102" s="3">
        <v>0</v>
      </c>
      <c r="I102" s="3">
        <v>0</v>
      </c>
      <c r="J102" s="3">
        <v>0</v>
      </c>
      <c r="K102" s="3">
        <v>0</v>
      </c>
      <c r="L102" s="3">
        <v>34960</v>
      </c>
    </row>
    <row r="103" spans="1:12" x14ac:dyDescent="0.25">
      <c r="A103" s="8" t="s">
        <v>176</v>
      </c>
      <c r="B103" s="5" t="s">
        <v>46</v>
      </c>
      <c r="C103" s="5" t="s">
        <v>37</v>
      </c>
      <c r="D103" s="6" t="s">
        <v>38</v>
      </c>
      <c r="E103" s="5" t="s">
        <v>79</v>
      </c>
      <c r="F103" s="3">
        <v>0</v>
      </c>
      <c r="G103" s="3">
        <v>34458.35</v>
      </c>
      <c r="H103" s="3">
        <v>0</v>
      </c>
      <c r="I103" s="3">
        <v>0</v>
      </c>
      <c r="J103" s="3">
        <v>172.03</v>
      </c>
      <c r="K103" s="3">
        <v>0</v>
      </c>
      <c r="L103" s="3">
        <v>34630.379999999997</v>
      </c>
    </row>
    <row r="104" spans="1:12" x14ac:dyDescent="0.25">
      <c r="A104" s="8" t="s">
        <v>145</v>
      </c>
      <c r="B104" s="5" t="s">
        <v>17</v>
      </c>
      <c r="C104" s="5" t="s">
        <v>14</v>
      </c>
      <c r="D104" s="6">
        <v>0</v>
      </c>
      <c r="E104" s="5" t="s">
        <v>15</v>
      </c>
      <c r="F104" s="3">
        <v>0</v>
      </c>
      <c r="G104" s="3">
        <v>0</v>
      </c>
      <c r="H104" s="3">
        <v>33239.82</v>
      </c>
      <c r="I104" s="3">
        <v>0</v>
      </c>
      <c r="J104" s="3">
        <v>0</v>
      </c>
      <c r="K104" s="3">
        <v>0</v>
      </c>
      <c r="L104" s="3">
        <v>33239.82</v>
      </c>
    </row>
    <row r="105" spans="1:12" x14ac:dyDescent="0.25">
      <c r="A105" s="8" t="s">
        <v>357</v>
      </c>
      <c r="B105" s="5" t="s">
        <v>17</v>
      </c>
      <c r="C105" s="5" t="s">
        <v>37</v>
      </c>
      <c r="D105" s="6" t="e">
        <v>#N/A</v>
      </c>
      <c r="E105" s="5" t="s">
        <v>15</v>
      </c>
      <c r="F105" s="3">
        <v>32804.6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32804.6</v>
      </c>
    </row>
    <row r="106" spans="1:12" x14ac:dyDescent="0.25">
      <c r="A106" s="8" t="s">
        <v>155</v>
      </c>
      <c r="B106" s="5" t="s">
        <v>46</v>
      </c>
      <c r="C106" s="5" t="s">
        <v>37</v>
      </c>
      <c r="D106" s="6" t="s">
        <v>38</v>
      </c>
      <c r="E106" s="5" t="s">
        <v>127</v>
      </c>
      <c r="F106" s="3">
        <v>0</v>
      </c>
      <c r="G106" s="3">
        <v>32737</v>
      </c>
      <c r="H106" s="3">
        <v>0</v>
      </c>
      <c r="I106" s="3">
        <v>0</v>
      </c>
      <c r="J106" s="3">
        <v>0</v>
      </c>
      <c r="K106" s="3">
        <v>0</v>
      </c>
      <c r="L106" s="3">
        <v>32737</v>
      </c>
    </row>
    <row r="107" spans="1:12" x14ac:dyDescent="0.25">
      <c r="A107" s="5" t="s">
        <v>108</v>
      </c>
      <c r="B107" s="5" t="s">
        <v>17</v>
      </c>
      <c r="C107" s="5" t="s">
        <v>37</v>
      </c>
      <c r="D107" s="6" t="s">
        <v>38</v>
      </c>
      <c r="E107" s="5" t="s">
        <v>15</v>
      </c>
      <c r="F107" s="5">
        <v>68475.19</v>
      </c>
      <c r="G107" s="5">
        <v>-37052.47</v>
      </c>
      <c r="H107" s="5">
        <v>0</v>
      </c>
      <c r="I107" s="5">
        <v>0</v>
      </c>
      <c r="J107" s="5">
        <v>0</v>
      </c>
      <c r="K107" s="5">
        <v>0</v>
      </c>
      <c r="L107" s="3">
        <v>31422.720000000001</v>
      </c>
    </row>
    <row r="108" spans="1:12" x14ac:dyDescent="0.25">
      <c r="A108" s="8" t="s">
        <v>146</v>
      </c>
      <c r="B108" s="5">
        <v>0</v>
      </c>
      <c r="C108" s="5" t="s">
        <v>37</v>
      </c>
      <c r="D108" s="6" t="s">
        <v>38</v>
      </c>
      <c r="E108" s="5" t="s">
        <v>79</v>
      </c>
      <c r="F108" s="3">
        <v>0</v>
      </c>
      <c r="G108" s="3">
        <v>0</v>
      </c>
      <c r="H108" s="3">
        <v>-40000</v>
      </c>
      <c r="I108" s="3">
        <v>-10000</v>
      </c>
      <c r="J108" s="3">
        <v>80060.69</v>
      </c>
      <c r="K108" s="3">
        <v>0</v>
      </c>
      <c r="L108" s="3">
        <v>30060.69</v>
      </c>
    </row>
    <row r="109" spans="1:12" x14ac:dyDescent="0.25">
      <c r="A109" s="5" t="s">
        <v>160</v>
      </c>
      <c r="B109" s="5" t="s">
        <v>46</v>
      </c>
      <c r="C109" s="5" t="s">
        <v>37</v>
      </c>
      <c r="D109" s="6" t="s">
        <v>38</v>
      </c>
      <c r="E109" s="5" t="s">
        <v>79</v>
      </c>
      <c r="F109" s="5">
        <v>679</v>
      </c>
      <c r="G109" s="5">
        <v>9193.25</v>
      </c>
      <c r="H109" s="5">
        <v>0</v>
      </c>
      <c r="I109" s="5">
        <v>36.75</v>
      </c>
      <c r="J109" s="5">
        <v>19676</v>
      </c>
      <c r="K109" s="5">
        <v>0</v>
      </c>
      <c r="L109" s="3">
        <v>29585</v>
      </c>
    </row>
    <row r="110" spans="1:12" x14ac:dyDescent="0.25">
      <c r="A110" s="8" t="s">
        <v>237</v>
      </c>
      <c r="B110" s="5" t="s">
        <v>46</v>
      </c>
      <c r="C110" s="5" t="s">
        <v>37</v>
      </c>
      <c r="D110" s="6" t="s">
        <v>38</v>
      </c>
      <c r="E110" s="5" t="s">
        <v>79</v>
      </c>
      <c r="F110" s="3">
        <v>0</v>
      </c>
      <c r="G110" s="3">
        <v>28663.97</v>
      </c>
      <c r="H110" s="3">
        <v>5</v>
      </c>
      <c r="I110" s="3">
        <v>0</v>
      </c>
      <c r="J110" s="3">
        <v>0</v>
      </c>
      <c r="K110" s="3">
        <v>0</v>
      </c>
      <c r="L110" s="3">
        <v>28668.97</v>
      </c>
    </row>
    <row r="111" spans="1:12" x14ac:dyDescent="0.25">
      <c r="A111" s="8" t="s">
        <v>148</v>
      </c>
      <c r="B111" s="5" t="s">
        <v>46</v>
      </c>
      <c r="C111" s="5" t="s">
        <v>37</v>
      </c>
      <c r="D111" s="6" t="s">
        <v>38</v>
      </c>
      <c r="E111" s="5" t="s">
        <v>51</v>
      </c>
      <c r="F111" s="3">
        <v>0</v>
      </c>
      <c r="G111" s="3">
        <v>0</v>
      </c>
      <c r="H111" s="3">
        <v>0</v>
      </c>
      <c r="I111" s="3">
        <v>28446.38</v>
      </c>
      <c r="J111" s="3">
        <v>0</v>
      </c>
      <c r="K111" s="3">
        <v>0</v>
      </c>
      <c r="L111" s="3">
        <v>28446.38</v>
      </c>
    </row>
    <row r="112" spans="1:12" x14ac:dyDescent="0.25">
      <c r="A112" s="8" t="s">
        <v>149</v>
      </c>
      <c r="B112" s="5" t="s">
        <v>17</v>
      </c>
      <c r="C112" s="5" t="s">
        <v>18</v>
      </c>
      <c r="D112" s="6" t="s">
        <v>21</v>
      </c>
      <c r="E112" s="5" t="s">
        <v>15</v>
      </c>
      <c r="F112" s="3">
        <v>0</v>
      </c>
      <c r="G112" s="3">
        <v>0</v>
      </c>
      <c r="H112" s="3">
        <v>0</v>
      </c>
      <c r="I112" s="3">
        <v>0</v>
      </c>
      <c r="J112" s="3">
        <v>28241.84</v>
      </c>
      <c r="K112" s="3">
        <v>0</v>
      </c>
      <c r="L112" s="3">
        <v>28241.84</v>
      </c>
    </row>
    <row r="113" spans="1:12" x14ac:dyDescent="0.25">
      <c r="A113" s="5" t="s">
        <v>151</v>
      </c>
      <c r="B113" s="5" t="s">
        <v>46</v>
      </c>
      <c r="C113" s="5" t="s">
        <v>37</v>
      </c>
      <c r="D113" s="6" t="s">
        <v>38</v>
      </c>
      <c r="E113" s="5" t="s">
        <v>79</v>
      </c>
      <c r="F113" s="5">
        <v>0</v>
      </c>
      <c r="G113" s="5">
        <v>0</v>
      </c>
      <c r="H113" s="5">
        <v>0</v>
      </c>
      <c r="I113" s="5">
        <v>0</v>
      </c>
      <c r="J113" s="5">
        <v>26301.81</v>
      </c>
      <c r="K113" s="5">
        <v>0</v>
      </c>
      <c r="L113" s="3">
        <v>26301.81</v>
      </c>
    </row>
    <row r="114" spans="1:12" x14ac:dyDescent="0.25">
      <c r="A114" s="8" t="s">
        <v>152</v>
      </c>
      <c r="B114" s="5" t="s">
        <v>17</v>
      </c>
      <c r="C114" s="5" t="s">
        <v>18</v>
      </c>
      <c r="D114" s="6" t="s">
        <v>31</v>
      </c>
      <c r="E114" s="5" t="s">
        <v>15</v>
      </c>
      <c r="F114" s="3">
        <v>0</v>
      </c>
      <c r="G114" s="3">
        <v>26008</v>
      </c>
      <c r="H114" s="3">
        <v>0</v>
      </c>
      <c r="I114" s="3">
        <v>0</v>
      </c>
      <c r="J114" s="3">
        <v>0</v>
      </c>
      <c r="K114" s="3">
        <v>0</v>
      </c>
      <c r="L114" s="3">
        <v>26008</v>
      </c>
    </row>
    <row r="115" spans="1:12" x14ac:dyDescent="0.25">
      <c r="A115" s="5" t="s">
        <v>172</v>
      </c>
      <c r="B115" s="5" t="s">
        <v>46</v>
      </c>
      <c r="C115" s="5" t="s">
        <v>37</v>
      </c>
      <c r="D115" s="6" t="s">
        <v>38</v>
      </c>
      <c r="E115" s="5" t="s">
        <v>127</v>
      </c>
      <c r="F115" s="5">
        <v>0</v>
      </c>
      <c r="G115" s="5">
        <v>25445.71</v>
      </c>
      <c r="H115" s="5">
        <v>513</v>
      </c>
      <c r="I115" s="5">
        <v>0</v>
      </c>
      <c r="J115" s="5">
        <v>0</v>
      </c>
      <c r="K115" s="5">
        <v>0</v>
      </c>
      <c r="L115" s="3">
        <v>25958.71</v>
      </c>
    </row>
    <row r="116" spans="1:12" x14ac:dyDescent="0.25">
      <c r="A116" s="5" t="s">
        <v>159</v>
      </c>
      <c r="B116" s="5" t="s">
        <v>46</v>
      </c>
      <c r="C116" s="5" t="s">
        <v>37</v>
      </c>
      <c r="D116" s="6" t="s">
        <v>38</v>
      </c>
      <c r="E116" s="5" t="s">
        <v>51</v>
      </c>
      <c r="F116" s="5">
        <v>0</v>
      </c>
      <c r="G116" s="5">
        <v>24125.69</v>
      </c>
      <c r="H116" s="5">
        <v>0</v>
      </c>
      <c r="I116" s="5">
        <v>0</v>
      </c>
      <c r="J116" s="5">
        <v>0</v>
      </c>
      <c r="K116" s="5">
        <v>0</v>
      </c>
      <c r="L116" s="3">
        <v>24125.69</v>
      </c>
    </row>
    <row r="117" spans="1:12" x14ac:dyDescent="0.25">
      <c r="A117" s="5" t="s">
        <v>349</v>
      </c>
      <c r="B117" s="5" t="s">
        <v>17</v>
      </c>
      <c r="C117" s="5" t="s">
        <v>37</v>
      </c>
      <c r="D117" s="6" t="e">
        <v>#N/A</v>
      </c>
      <c r="E117" s="5" t="s">
        <v>41</v>
      </c>
      <c r="F117" s="5">
        <v>0</v>
      </c>
      <c r="G117" s="5">
        <v>23499.599999999999</v>
      </c>
      <c r="H117" s="5">
        <v>0</v>
      </c>
      <c r="I117" s="5">
        <v>0</v>
      </c>
      <c r="J117" s="5">
        <v>0</v>
      </c>
      <c r="K117" s="5">
        <v>0</v>
      </c>
      <c r="L117" s="3">
        <v>23499.599999999999</v>
      </c>
    </row>
    <row r="118" spans="1:12" x14ac:dyDescent="0.25">
      <c r="A118" s="8" t="s">
        <v>144</v>
      </c>
      <c r="B118" s="5" t="s">
        <v>46</v>
      </c>
      <c r="C118" s="5" t="s">
        <v>37</v>
      </c>
      <c r="D118" s="6" t="s">
        <v>38</v>
      </c>
      <c r="E118" s="5" t="s">
        <v>51</v>
      </c>
      <c r="F118" s="3">
        <v>0</v>
      </c>
      <c r="G118" s="3">
        <v>-725.14</v>
      </c>
      <c r="H118" s="3">
        <v>22460.22</v>
      </c>
      <c r="I118" s="3">
        <v>0</v>
      </c>
      <c r="J118" s="3">
        <v>1356.19</v>
      </c>
      <c r="K118" s="3">
        <v>0</v>
      </c>
      <c r="L118" s="3">
        <v>23091.27</v>
      </c>
    </row>
    <row r="119" spans="1:12" x14ac:dyDescent="0.25">
      <c r="A119" s="8" t="s">
        <v>179</v>
      </c>
      <c r="B119" s="5" t="s">
        <v>46</v>
      </c>
      <c r="C119" s="5" t="s">
        <v>37</v>
      </c>
      <c r="D119" s="6" t="s">
        <v>38</v>
      </c>
      <c r="E119" s="5" t="s">
        <v>79</v>
      </c>
      <c r="F119" s="3">
        <v>0</v>
      </c>
      <c r="G119" s="3">
        <v>21797.95</v>
      </c>
      <c r="H119" s="3">
        <v>0</v>
      </c>
      <c r="I119" s="3">
        <v>0</v>
      </c>
      <c r="J119" s="3">
        <v>0</v>
      </c>
      <c r="K119" s="3">
        <v>0</v>
      </c>
      <c r="L119" s="3">
        <v>21797.95</v>
      </c>
    </row>
    <row r="120" spans="1:12" x14ac:dyDescent="0.25">
      <c r="A120" s="8" t="s">
        <v>161</v>
      </c>
      <c r="B120" s="5" t="s">
        <v>17</v>
      </c>
      <c r="C120" s="5" t="s">
        <v>18</v>
      </c>
      <c r="D120" s="6" t="s">
        <v>19</v>
      </c>
      <c r="E120" s="5" t="s">
        <v>127</v>
      </c>
      <c r="F120" s="3">
        <v>0</v>
      </c>
      <c r="G120" s="3">
        <v>0</v>
      </c>
      <c r="H120" s="3">
        <v>0</v>
      </c>
      <c r="I120" s="3">
        <v>0</v>
      </c>
      <c r="J120" s="3">
        <v>20039.75</v>
      </c>
      <c r="K120" s="3">
        <v>0</v>
      </c>
      <c r="L120" s="3">
        <v>20039.75</v>
      </c>
    </row>
    <row r="121" spans="1:12" x14ac:dyDescent="0.25">
      <c r="A121" s="5" t="s">
        <v>343</v>
      </c>
      <c r="B121" s="5" t="s">
        <v>46</v>
      </c>
      <c r="C121" s="5" t="s">
        <v>37</v>
      </c>
      <c r="D121" s="6" t="e">
        <v>#N/A</v>
      </c>
      <c r="E121" s="5" t="s">
        <v>34</v>
      </c>
      <c r="F121" s="5">
        <v>0</v>
      </c>
      <c r="G121" s="5">
        <v>18876.259999999998</v>
      </c>
      <c r="H121" s="5">
        <v>0</v>
      </c>
      <c r="I121" s="5">
        <v>0</v>
      </c>
      <c r="J121" s="5">
        <v>0</v>
      </c>
      <c r="K121" s="5">
        <v>0</v>
      </c>
      <c r="L121" s="3">
        <v>18876.259999999998</v>
      </c>
    </row>
    <row r="122" spans="1:12" x14ac:dyDescent="0.25">
      <c r="A122" s="8" t="s">
        <v>164</v>
      </c>
      <c r="B122" s="5" t="s">
        <v>46</v>
      </c>
      <c r="C122" s="5" t="s">
        <v>37</v>
      </c>
      <c r="D122" s="6" t="s">
        <v>38</v>
      </c>
      <c r="E122" s="5" t="s">
        <v>48</v>
      </c>
      <c r="F122" s="3">
        <v>0</v>
      </c>
      <c r="G122" s="3">
        <v>0</v>
      </c>
      <c r="H122" s="3">
        <v>0</v>
      </c>
      <c r="I122" s="3">
        <v>0</v>
      </c>
      <c r="J122" s="3">
        <v>18709.810000000001</v>
      </c>
      <c r="K122" s="3">
        <v>0</v>
      </c>
      <c r="L122" s="3">
        <v>18709.810000000001</v>
      </c>
    </row>
    <row r="123" spans="1:12" x14ac:dyDescent="0.25">
      <c r="A123" s="8" t="s">
        <v>166</v>
      </c>
      <c r="B123" s="5" t="s">
        <v>46</v>
      </c>
      <c r="C123" s="5" t="s">
        <v>37</v>
      </c>
      <c r="D123" s="6" t="s">
        <v>38</v>
      </c>
      <c r="E123" s="5" t="s">
        <v>48</v>
      </c>
      <c r="F123" s="3">
        <v>0</v>
      </c>
      <c r="G123" s="3">
        <v>0</v>
      </c>
      <c r="H123" s="3">
        <v>0</v>
      </c>
      <c r="I123" s="3">
        <v>5435</v>
      </c>
      <c r="J123" s="3">
        <v>12600</v>
      </c>
      <c r="K123" s="3">
        <v>0</v>
      </c>
      <c r="L123" s="3">
        <v>18035</v>
      </c>
    </row>
    <row r="124" spans="1:12" x14ac:dyDescent="0.25">
      <c r="A124" s="8" t="s">
        <v>167</v>
      </c>
      <c r="B124" s="5" t="s">
        <v>46</v>
      </c>
      <c r="C124" s="5" t="s">
        <v>37</v>
      </c>
      <c r="D124" s="6" t="s">
        <v>38</v>
      </c>
      <c r="E124" s="5" t="s">
        <v>127</v>
      </c>
      <c r="F124" s="3">
        <v>0</v>
      </c>
      <c r="G124" s="3">
        <v>15338</v>
      </c>
      <c r="H124" s="3">
        <v>2430</v>
      </c>
      <c r="I124" s="3">
        <v>0</v>
      </c>
      <c r="J124" s="3">
        <v>0</v>
      </c>
      <c r="K124" s="3">
        <v>0</v>
      </c>
      <c r="L124" s="3">
        <v>17768</v>
      </c>
    </row>
    <row r="125" spans="1:12" x14ac:dyDescent="0.25">
      <c r="A125" s="8" t="s">
        <v>240</v>
      </c>
      <c r="B125" s="5" t="s">
        <v>46</v>
      </c>
      <c r="C125" s="5" t="s">
        <v>37</v>
      </c>
      <c r="D125" s="6" t="s">
        <v>38</v>
      </c>
      <c r="E125" s="5" t="s">
        <v>48</v>
      </c>
      <c r="F125" s="3">
        <v>0</v>
      </c>
      <c r="G125" s="3">
        <v>17332.22</v>
      </c>
      <c r="H125" s="3">
        <v>0</v>
      </c>
      <c r="I125" s="3">
        <v>0</v>
      </c>
      <c r="J125" s="3">
        <v>1</v>
      </c>
      <c r="K125" s="3">
        <v>0</v>
      </c>
      <c r="L125" s="3">
        <v>17333.22</v>
      </c>
    </row>
    <row r="126" spans="1:12" x14ac:dyDescent="0.25">
      <c r="A126" s="8" t="s">
        <v>165</v>
      </c>
      <c r="B126" s="5" t="s">
        <v>46</v>
      </c>
      <c r="C126" s="5" t="s">
        <v>37</v>
      </c>
      <c r="D126" s="6" t="s">
        <v>38</v>
      </c>
      <c r="E126" s="5" t="s">
        <v>79</v>
      </c>
      <c r="F126" s="3">
        <v>0</v>
      </c>
      <c r="G126" s="3">
        <v>-1104.58</v>
      </c>
      <c r="H126" s="3">
        <v>0</v>
      </c>
      <c r="I126" s="3">
        <v>0</v>
      </c>
      <c r="J126" s="3">
        <v>18092</v>
      </c>
      <c r="K126" s="3">
        <v>0</v>
      </c>
      <c r="L126" s="3">
        <v>16987.419999999998</v>
      </c>
    </row>
    <row r="127" spans="1:12" x14ac:dyDescent="0.25">
      <c r="A127" s="8" t="s">
        <v>355</v>
      </c>
      <c r="B127" s="5" t="s">
        <v>46</v>
      </c>
      <c r="C127" s="5" t="s">
        <v>37</v>
      </c>
      <c r="D127" s="6" t="e">
        <v>#N/A</v>
      </c>
      <c r="E127" s="5" t="s">
        <v>51</v>
      </c>
      <c r="F127" s="3">
        <v>0</v>
      </c>
      <c r="G127" s="3">
        <v>16790</v>
      </c>
      <c r="H127" s="3">
        <v>0</v>
      </c>
      <c r="I127" s="3">
        <v>0</v>
      </c>
      <c r="J127" s="3">
        <v>0</v>
      </c>
      <c r="K127" s="3">
        <v>0</v>
      </c>
      <c r="L127" s="3">
        <v>16790</v>
      </c>
    </row>
    <row r="128" spans="1:12" x14ac:dyDescent="0.25">
      <c r="A128" s="5" t="s">
        <v>293</v>
      </c>
      <c r="B128" s="5" t="s">
        <v>46</v>
      </c>
      <c r="C128" s="5" t="s">
        <v>37</v>
      </c>
      <c r="D128" s="6" t="s">
        <v>38</v>
      </c>
      <c r="E128" s="5" t="s">
        <v>51</v>
      </c>
      <c r="F128" s="5">
        <v>20001.3</v>
      </c>
      <c r="G128" s="5">
        <v>0</v>
      </c>
      <c r="H128" s="5">
        <v>-1269</v>
      </c>
      <c r="I128" s="5">
        <v>0</v>
      </c>
      <c r="J128" s="5">
        <v>-1950</v>
      </c>
      <c r="K128" s="5">
        <v>0</v>
      </c>
      <c r="L128" s="3">
        <v>16782.3</v>
      </c>
    </row>
    <row r="129" spans="1:12" x14ac:dyDescent="0.25">
      <c r="A129" s="5" t="s">
        <v>162</v>
      </c>
      <c r="B129" s="5" t="s">
        <v>46</v>
      </c>
      <c r="C129" s="5" t="s">
        <v>37</v>
      </c>
      <c r="D129" s="6" t="s">
        <v>38</v>
      </c>
      <c r="E129" s="5" t="s">
        <v>79</v>
      </c>
      <c r="F129" s="5">
        <v>0</v>
      </c>
      <c r="G129" s="5">
        <v>16363</v>
      </c>
      <c r="H129" s="5">
        <v>127</v>
      </c>
      <c r="I129" s="5">
        <v>0</v>
      </c>
      <c r="J129" s="5">
        <v>16</v>
      </c>
      <c r="K129" s="5">
        <v>0</v>
      </c>
      <c r="L129" s="3">
        <v>16506</v>
      </c>
    </row>
    <row r="130" spans="1:12" x14ac:dyDescent="0.25">
      <c r="A130" s="8" t="s">
        <v>333</v>
      </c>
      <c r="B130" s="5" t="s">
        <v>46</v>
      </c>
      <c r="C130" s="5" t="s">
        <v>37</v>
      </c>
      <c r="D130" s="6" t="e">
        <v>#N/A</v>
      </c>
      <c r="E130" s="5" t="s">
        <v>79</v>
      </c>
      <c r="F130" s="3">
        <v>0</v>
      </c>
      <c r="G130" s="3">
        <v>15375.96</v>
      </c>
      <c r="H130" s="3">
        <v>0</v>
      </c>
      <c r="I130" s="3">
        <v>0</v>
      </c>
      <c r="J130" s="3">
        <v>0</v>
      </c>
      <c r="K130" s="3">
        <v>0</v>
      </c>
      <c r="L130" s="3">
        <v>15375.96</v>
      </c>
    </row>
    <row r="131" spans="1:12" x14ac:dyDescent="0.25">
      <c r="A131" s="8" t="s">
        <v>190</v>
      </c>
      <c r="B131" s="5" t="s">
        <v>46</v>
      </c>
      <c r="C131" s="5" t="s">
        <v>37</v>
      </c>
      <c r="D131" s="6" t="e">
        <v>#N/A</v>
      </c>
      <c r="E131" s="5" t="s">
        <v>51</v>
      </c>
      <c r="F131" s="3">
        <v>0</v>
      </c>
      <c r="G131" s="3">
        <v>15150</v>
      </c>
      <c r="H131" s="3">
        <v>0.34</v>
      </c>
      <c r="I131" s="3">
        <v>0.64</v>
      </c>
      <c r="J131" s="3">
        <v>0</v>
      </c>
      <c r="K131" s="3">
        <v>0</v>
      </c>
      <c r="L131" s="3">
        <v>15150.98</v>
      </c>
    </row>
    <row r="132" spans="1:12" x14ac:dyDescent="0.25">
      <c r="A132" s="8" t="s">
        <v>334</v>
      </c>
      <c r="B132" s="5" t="s">
        <v>46</v>
      </c>
      <c r="C132" s="5" t="s">
        <v>37</v>
      </c>
      <c r="D132" s="6" t="e">
        <v>#N/A</v>
      </c>
      <c r="E132" s="5" t="s">
        <v>79</v>
      </c>
      <c r="F132" s="3">
        <v>14844.36</v>
      </c>
      <c r="G132" s="3">
        <v>0</v>
      </c>
      <c r="H132" s="3">
        <v>0.04</v>
      </c>
      <c r="I132" s="3">
        <v>0</v>
      </c>
      <c r="J132" s="3">
        <v>0</v>
      </c>
      <c r="K132" s="3">
        <v>0</v>
      </c>
      <c r="L132" s="3">
        <v>14844.4</v>
      </c>
    </row>
    <row r="133" spans="1:12" x14ac:dyDescent="0.25">
      <c r="A133" s="5" t="s">
        <v>171</v>
      </c>
      <c r="B133" s="5" t="s">
        <v>46</v>
      </c>
      <c r="C133" s="5" t="s">
        <v>37</v>
      </c>
      <c r="D133" s="6" t="s">
        <v>38</v>
      </c>
      <c r="E133" s="5" t="s">
        <v>127</v>
      </c>
      <c r="F133" s="5">
        <v>0</v>
      </c>
      <c r="G133" s="5">
        <v>14160</v>
      </c>
      <c r="H133" s="5">
        <v>-54080</v>
      </c>
      <c r="I133" s="5">
        <v>54080</v>
      </c>
      <c r="J133" s="5">
        <v>0</v>
      </c>
      <c r="K133" s="5">
        <v>0</v>
      </c>
      <c r="L133" s="3">
        <v>14160</v>
      </c>
    </row>
    <row r="134" spans="1:12" x14ac:dyDescent="0.25">
      <c r="A134" s="8" t="s">
        <v>212</v>
      </c>
      <c r="B134" s="5" t="s">
        <v>46</v>
      </c>
      <c r="C134" s="5" t="s">
        <v>37</v>
      </c>
      <c r="D134" s="6" t="e">
        <v>#N/A</v>
      </c>
      <c r="E134" s="5" t="s">
        <v>79</v>
      </c>
      <c r="F134" s="3">
        <v>0</v>
      </c>
      <c r="G134" s="3">
        <v>13225.5</v>
      </c>
      <c r="H134" s="3">
        <v>0</v>
      </c>
      <c r="I134" s="3">
        <v>0</v>
      </c>
      <c r="J134" s="3">
        <v>0</v>
      </c>
      <c r="K134" s="3">
        <v>0</v>
      </c>
      <c r="L134" s="3">
        <v>13225.5</v>
      </c>
    </row>
    <row r="135" spans="1:12" x14ac:dyDescent="0.25">
      <c r="A135" s="8" t="s">
        <v>310</v>
      </c>
      <c r="B135" s="5" t="s">
        <v>46</v>
      </c>
      <c r="C135" s="5" t="s">
        <v>37</v>
      </c>
      <c r="D135" s="6" t="s">
        <v>38</v>
      </c>
      <c r="E135" s="5" t="s">
        <v>79</v>
      </c>
      <c r="F135" s="3">
        <v>0</v>
      </c>
      <c r="G135" s="3">
        <v>12819.22</v>
      </c>
      <c r="H135" s="3">
        <v>0</v>
      </c>
      <c r="I135" s="3">
        <v>0</v>
      </c>
      <c r="J135" s="3">
        <v>0</v>
      </c>
      <c r="K135" s="3">
        <v>0</v>
      </c>
      <c r="L135" s="3">
        <v>12819.22</v>
      </c>
    </row>
    <row r="136" spans="1:12" x14ac:dyDescent="0.25">
      <c r="A136" s="8" t="s">
        <v>175</v>
      </c>
      <c r="B136" s="5" t="s">
        <v>46</v>
      </c>
      <c r="C136" s="5" t="s">
        <v>37</v>
      </c>
      <c r="D136" s="6" t="s">
        <v>38</v>
      </c>
      <c r="E136" s="5" t="s">
        <v>127</v>
      </c>
      <c r="F136" s="3">
        <v>0</v>
      </c>
      <c r="G136" s="3">
        <v>12247.46</v>
      </c>
      <c r="H136" s="3">
        <v>0</v>
      </c>
      <c r="I136" s="3">
        <v>0</v>
      </c>
      <c r="J136" s="3">
        <v>0</v>
      </c>
      <c r="K136" s="3">
        <v>0</v>
      </c>
      <c r="L136" s="3">
        <v>12247.46</v>
      </c>
    </row>
    <row r="137" spans="1:12" x14ac:dyDescent="0.25">
      <c r="A137" s="5" t="s">
        <v>265</v>
      </c>
      <c r="B137" s="5" t="s">
        <v>46</v>
      </c>
      <c r="C137" s="5" t="s">
        <v>37</v>
      </c>
      <c r="D137" s="6" t="s">
        <v>38</v>
      </c>
      <c r="E137" s="5" t="s">
        <v>127</v>
      </c>
      <c r="F137" s="5">
        <v>11056</v>
      </c>
      <c r="G137" s="5">
        <v>0</v>
      </c>
      <c r="H137" s="5">
        <v>0</v>
      </c>
      <c r="I137" s="5">
        <v>0</v>
      </c>
      <c r="J137" s="5">
        <v>281.5</v>
      </c>
      <c r="K137" s="5">
        <v>0</v>
      </c>
      <c r="L137" s="3">
        <v>11337.5</v>
      </c>
    </row>
    <row r="138" spans="1:12" x14ac:dyDescent="0.25">
      <c r="A138" s="8" t="s">
        <v>157</v>
      </c>
      <c r="B138" s="5" t="s">
        <v>46</v>
      </c>
      <c r="C138" s="5" t="s">
        <v>37</v>
      </c>
      <c r="D138" s="6" t="s">
        <v>38</v>
      </c>
      <c r="E138" s="5" t="s">
        <v>51</v>
      </c>
      <c r="F138" s="3">
        <v>0</v>
      </c>
      <c r="G138" s="3">
        <v>11304.44</v>
      </c>
      <c r="H138" s="3">
        <v>0</v>
      </c>
      <c r="I138" s="3">
        <v>0</v>
      </c>
      <c r="J138" s="3">
        <v>0</v>
      </c>
      <c r="K138" s="3">
        <v>0</v>
      </c>
      <c r="L138" s="3">
        <v>11304.44</v>
      </c>
    </row>
    <row r="139" spans="1:12" x14ac:dyDescent="0.25">
      <c r="A139" s="5" t="s">
        <v>158</v>
      </c>
      <c r="B139" s="5" t="s">
        <v>46</v>
      </c>
      <c r="C139" s="5" t="s">
        <v>37</v>
      </c>
      <c r="D139" s="6" t="e">
        <v>#N/A</v>
      </c>
      <c r="E139" s="5" t="s">
        <v>48</v>
      </c>
      <c r="F139" s="5">
        <v>0</v>
      </c>
      <c r="G139" s="5">
        <v>11291.74</v>
      </c>
      <c r="H139" s="5">
        <v>4.72</v>
      </c>
      <c r="I139" s="5">
        <v>0</v>
      </c>
      <c r="J139" s="5">
        <v>0</v>
      </c>
      <c r="K139" s="5">
        <v>0</v>
      </c>
      <c r="L139" s="3">
        <v>11296.46</v>
      </c>
    </row>
    <row r="140" spans="1:12" x14ac:dyDescent="0.25">
      <c r="A140" s="5" t="s">
        <v>324</v>
      </c>
      <c r="B140" s="5" t="s">
        <v>46</v>
      </c>
      <c r="C140" s="5" t="s">
        <v>37</v>
      </c>
      <c r="D140" s="6" t="s">
        <v>38</v>
      </c>
      <c r="E140" s="5" t="s">
        <v>51</v>
      </c>
      <c r="F140" s="5">
        <v>0</v>
      </c>
      <c r="G140" s="5">
        <v>9916.58</v>
      </c>
      <c r="H140" s="5">
        <v>0</v>
      </c>
      <c r="I140" s="5">
        <v>0</v>
      </c>
      <c r="J140" s="5">
        <v>871.42</v>
      </c>
      <c r="K140" s="5">
        <v>0</v>
      </c>
      <c r="L140" s="3">
        <v>10788</v>
      </c>
    </row>
    <row r="141" spans="1:12" x14ac:dyDescent="0.25">
      <c r="A141" s="5" t="s">
        <v>318</v>
      </c>
      <c r="B141" s="5" t="e">
        <v>#N/A</v>
      </c>
      <c r="C141" s="5" t="e">
        <v>#N/A</v>
      </c>
      <c r="D141" s="6" t="s">
        <v>38</v>
      </c>
      <c r="E141" s="5" t="e">
        <v>#N/A</v>
      </c>
      <c r="F141" s="5">
        <v>0</v>
      </c>
      <c r="G141" s="5">
        <v>10690</v>
      </c>
      <c r="H141" s="5">
        <v>0</v>
      </c>
      <c r="I141" s="5">
        <v>0</v>
      </c>
      <c r="J141" s="5">
        <v>0</v>
      </c>
      <c r="K141" s="5">
        <v>0</v>
      </c>
      <c r="L141" s="3">
        <v>10690</v>
      </c>
    </row>
    <row r="142" spans="1:12" x14ac:dyDescent="0.25">
      <c r="A142" s="8" t="s">
        <v>178</v>
      </c>
      <c r="B142" s="5" t="s">
        <v>46</v>
      </c>
      <c r="C142" s="5" t="s">
        <v>37</v>
      </c>
      <c r="D142" s="6" t="e">
        <v>#N/A</v>
      </c>
      <c r="E142" s="5" t="s">
        <v>127</v>
      </c>
      <c r="F142" s="3">
        <v>0</v>
      </c>
      <c r="G142" s="3">
        <v>10243.84</v>
      </c>
      <c r="H142" s="3">
        <v>160.96</v>
      </c>
      <c r="I142" s="3">
        <v>0</v>
      </c>
      <c r="J142" s="3">
        <v>0.95</v>
      </c>
      <c r="K142" s="3">
        <v>0</v>
      </c>
      <c r="L142" s="3">
        <v>10405.75</v>
      </c>
    </row>
    <row r="143" spans="1:12" x14ac:dyDescent="0.25">
      <c r="A143" s="8" t="s">
        <v>180</v>
      </c>
      <c r="B143" s="5" t="s">
        <v>46</v>
      </c>
      <c r="C143" s="5" t="s">
        <v>37</v>
      </c>
      <c r="D143" s="6" t="s">
        <v>38</v>
      </c>
      <c r="E143" s="5" t="s">
        <v>181</v>
      </c>
      <c r="F143" s="3">
        <v>0</v>
      </c>
      <c r="G143" s="3">
        <v>0</v>
      </c>
      <c r="H143" s="3">
        <v>10400</v>
      </c>
      <c r="I143" s="3">
        <v>0</v>
      </c>
      <c r="J143" s="3">
        <v>0</v>
      </c>
      <c r="K143" s="3">
        <v>0</v>
      </c>
      <c r="L143" s="3">
        <v>10400</v>
      </c>
    </row>
    <row r="144" spans="1:12" x14ac:dyDescent="0.25">
      <c r="A144" s="8" t="s">
        <v>361</v>
      </c>
      <c r="B144" s="5" t="s">
        <v>46</v>
      </c>
      <c r="C144" s="5" t="s">
        <v>37</v>
      </c>
      <c r="D144" s="6" t="e">
        <v>#N/A</v>
      </c>
      <c r="E144" s="5" t="s">
        <v>51</v>
      </c>
      <c r="F144" s="3">
        <v>0</v>
      </c>
      <c r="G144" s="3">
        <v>10173.879999999999</v>
      </c>
      <c r="H144" s="3">
        <v>0</v>
      </c>
      <c r="I144" s="3">
        <v>0</v>
      </c>
      <c r="J144" s="3">
        <v>0</v>
      </c>
      <c r="K144" s="3">
        <v>0</v>
      </c>
      <c r="L144" s="3">
        <v>10173.879999999999</v>
      </c>
    </row>
    <row r="145" spans="1:12" x14ac:dyDescent="0.25">
      <c r="A145" s="5" t="s">
        <v>184</v>
      </c>
      <c r="B145" s="5" t="s">
        <v>46</v>
      </c>
      <c r="C145" s="5" t="s">
        <v>37</v>
      </c>
      <c r="D145" s="6" t="s">
        <v>38</v>
      </c>
      <c r="E145" s="5" t="s">
        <v>79</v>
      </c>
      <c r="F145" s="5">
        <v>0</v>
      </c>
      <c r="G145" s="5">
        <v>0</v>
      </c>
      <c r="H145" s="5">
        <v>0</v>
      </c>
      <c r="I145" s="5">
        <v>0</v>
      </c>
      <c r="J145" s="5">
        <v>10028.290000000001</v>
      </c>
      <c r="K145" s="5">
        <v>0</v>
      </c>
      <c r="L145" s="3">
        <v>10028.290000000001</v>
      </c>
    </row>
    <row r="146" spans="1:12" x14ac:dyDescent="0.25">
      <c r="A146" s="8" t="s">
        <v>154</v>
      </c>
      <c r="B146" s="5" t="s">
        <v>46</v>
      </c>
      <c r="C146" s="5" t="s">
        <v>37</v>
      </c>
      <c r="D146" s="6" t="s">
        <v>38</v>
      </c>
      <c r="E146" s="5" t="s">
        <v>34</v>
      </c>
      <c r="F146" s="3">
        <v>0</v>
      </c>
      <c r="G146" s="3">
        <v>2.5</v>
      </c>
      <c r="H146" s="3">
        <v>9997</v>
      </c>
      <c r="I146" s="3">
        <v>0</v>
      </c>
      <c r="J146" s="3">
        <v>0</v>
      </c>
      <c r="K146" s="3">
        <v>0</v>
      </c>
      <c r="L146" s="3">
        <v>9999.5</v>
      </c>
    </row>
    <row r="147" spans="1:12" x14ac:dyDescent="0.25">
      <c r="A147" s="5" t="s">
        <v>317</v>
      </c>
      <c r="B147" s="5" t="s">
        <v>46</v>
      </c>
      <c r="C147" s="5" t="s">
        <v>37</v>
      </c>
      <c r="D147" s="6" t="s">
        <v>38</v>
      </c>
      <c r="E147" s="5" t="s">
        <v>34</v>
      </c>
      <c r="F147" s="5">
        <v>0</v>
      </c>
      <c r="G147" s="5">
        <v>9590.5300000000007</v>
      </c>
      <c r="H147" s="5">
        <v>1.92</v>
      </c>
      <c r="I147" s="5">
        <v>0</v>
      </c>
      <c r="J147" s="5">
        <v>0</v>
      </c>
      <c r="K147" s="5">
        <v>0</v>
      </c>
      <c r="L147" s="3">
        <v>9592.4500000000007</v>
      </c>
    </row>
    <row r="148" spans="1:12" x14ac:dyDescent="0.25">
      <c r="A148" s="8" t="s">
        <v>311</v>
      </c>
      <c r="B148" s="5" t="s">
        <v>46</v>
      </c>
      <c r="C148" s="5" t="s">
        <v>37</v>
      </c>
      <c r="D148" s="6" t="s">
        <v>38</v>
      </c>
      <c r="E148" s="5" t="s">
        <v>79</v>
      </c>
      <c r="F148" s="3">
        <v>9297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9297</v>
      </c>
    </row>
    <row r="149" spans="1:12" x14ac:dyDescent="0.25">
      <c r="A149" s="8" t="s">
        <v>189</v>
      </c>
      <c r="B149" s="5" t="s">
        <v>46</v>
      </c>
      <c r="C149" s="5" t="s">
        <v>37</v>
      </c>
      <c r="D149" s="6" t="s">
        <v>38</v>
      </c>
      <c r="E149" s="5" t="s">
        <v>34</v>
      </c>
      <c r="F149" s="3">
        <v>0</v>
      </c>
      <c r="G149" s="3">
        <v>0</v>
      </c>
      <c r="H149" s="3">
        <v>0</v>
      </c>
      <c r="I149" s="3">
        <v>0</v>
      </c>
      <c r="J149" s="3">
        <v>9288.7999999999993</v>
      </c>
      <c r="K149" s="3">
        <v>0</v>
      </c>
      <c r="L149" s="3">
        <v>9288.7999999999993</v>
      </c>
    </row>
    <row r="150" spans="1:12" x14ac:dyDescent="0.25">
      <c r="A150" s="8" t="s">
        <v>191</v>
      </c>
      <c r="B150" s="5" t="s">
        <v>46</v>
      </c>
      <c r="C150" s="5" t="s">
        <v>18</v>
      </c>
      <c r="D150" s="6" t="s">
        <v>31</v>
      </c>
      <c r="E150" s="5" t="s">
        <v>51</v>
      </c>
      <c r="F150" s="3">
        <v>0</v>
      </c>
      <c r="G150" s="3">
        <v>0</v>
      </c>
      <c r="H150" s="3">
        <v>0</v>
      </c>
      <c r="I150" s="3">
        <v>0</v>
      </c>
      <c r="J150" s="3">
        <v>9132.3700000000008</v>
      </c>
      <c r="K150" s="3">
        <v>0</v>
      </c>
      <c r="L150" s="3">
        <v>9132.3700000000008</v>
      </c>
    </row>
    <row r="151" spans="1:12" x14ac:dyDescent="0.25">
      <c r="A151" s="8" t="s">
        <v>93</v>
      </c>
      <c r="B151" s="5" t="s">
        <v>46</v>
      </c>
      <c r="C151" s="5" t="s">
        <v>37</v>
      </c>
      <c r="D151" s="6" t="s">
        <v>38</v>
      </c>
      <c r="E151" s="5" t="s">
        <v>34</v>
      </c>
      <c r="F151" s="3">
        <v>26160</v>
      </c>
      <c r="G151" s="3">
        <v>-22554.69</v>
      </c>
      <c r="H151" s="3">
        <v>4480</v>
      </c>
      <c r="I151" s="3">
        <v>0</v>
      </c>
      <c r="J151" s="3">
        <v>989.75</v>
      </c>
      <c r="K151" s="3">
        <v>0</v>
      </c>
      <c r="L151" s="3">
        <v>9075.0600000000013</v>
      </c>
    </row>
    <row r="152" spans="1:12" x14ac:dyDescent="0.25">
      <c r="A152" s="8" t="s">
        <v>156</v>
      </c>
      <c r="B152" s="5" t="s">
        <v>46</v>
      </c>
      <c r="C152" s="5" t="s">
        <v>37</v>
      </c>
      <c r="D152" s="6" t="s">
        <v>38</v>
      </c>
      <c r="E152" s="5" t="s">
        <v>127</v>
      </c>
      <c r="F152" s="3">
        <v>0</v>
      </c>
      <c r="G152" s="3">
        <v>717.53</v>
      </c>
      <c r="H152" s="3">
        <v>1.25</v>
      </c>
      <c r="I152" s="3">
        <v>0</v>
      </c>
      <c r="J152" s="3">
        <v>7719</v>
      </c>
      <c r="K152" s="3">
        <v>0</v>
      </c>
      <c r="L152" s="3">
        <v>8437.7800000000007</v>
      </c>
    </row>
    <row r="153" spans="1:12" x14ac:dyDescent="0.25">
      <c r="A153" s="8" t="s">
        <v>194</v>
      </c>
      <c r="B153" s="5" t="s">
        <v>17</v>
      </c>
      <c r="C153" s="5" t="s">
        <v>18</v>
      </c>
      <c r="D153" s="6" t="s">
        <v>19</v>
      </c>
      <c r="E153" s="5" t="s">
        <v>15</v>
      </c>
      <c r="F153" s="3">
        <v>15475</v>
      </c>
      <c r="G153" s="3">
        <v>-7050</v>
      </c>
      <c r="H153" s="3">
        <v>0</v>
      </c>
      <c r="I153" s="3">
        <v>-3618.85</v>
      </c>
      <c r="J153" s="3">
        <v>3617.47</v>
      </c>
      <c r="K153" s="3">
        <v>0</v>
      </c>
      <c r="L153" s="3">
        <v>8423.619999999999</v>
      </c>
    </row>
    <row r="154" spans="1:12" x14ac:dyDescent="0.25">
      <c r="A154" s="5" t="s">
        <v>228</v>
      </c>
      <c r="B154" s="5" t="s">
        <v>46</v>
      </c>
      <c r="C154" s="5" t="s">
        <v>37</v>
      </c>
      <c r="D154" s="6" t="e">
        <v>#N/A</v>
      </c>
      <c r="E154" s="5" t="s">
        <v>142</v>
      </c>
      <c r="F154" s="5">
        <v>0</v>
      </c>
      <c r="G154" s="5">
        <v>8204.85</v>
      </c>
      <c r="H154" s="5">
        <v>0</v>
      </c>
      <c r="I154" s="5">
        <v>0</v>
      </c>
      <c r="J154" s="5">
        <v>0</v>
      </c>
      <c r="K154" s="5">
        <v>0</v>
      </c>
      <c r="L154" s="3">
        <v>8204.85</v>
      </c>
    </row>
    <row r="155" spans="1:12" x14ac:dyDescent="0.25">
      <c r="A155" s="8" t="s">
        <v>196</v>
      </c>
      <c r="B155" s="5" t="s">
        <v>46</v>
      </c>
      <c r="C155" s="5" t="s">
        <v>37</v>
      </c>
      <c r="D155" s="6" t="s">
        <v>38</v>
      </c>
      <c r="E155" s="5" t="s">
        <v>48</v>
      </c>
      <c r="F155" s="3">
        <v>0</v>
      </c>
      <c r="G155" s="3">
        <v>0</v>
      </c>
      <c r="H155" s="3">
        <v>0</v>
      </c>
      <c r="I155" s="3">
        <v>0</v>
      </c>
      <c r="J155" s="3">
        <v>7925</v>
      </c>
      <c r="K155" s="3">
        <v>0</v>
      </c>
      <c r="L155" s="3">
        <v>7925</v>
      </c>
    </row>
    <row r="156" spans="1:12" x14ac:dyDescent="0.25">
      <c r="A156" s="5" t="s">
        <v>197</v>
      </c>
      <c r="B156" s="5" t="s">
        <v>17</v>
      </c>
      <c r="C156" s="5" t="s">
        <v>18</v>
      </c>
      <c r="D156" s="6" t="s">
        <v>19</v>
      </c>
      <c r="E156" s="5" t="s">
        <v>127</v>
      </c>
      <c r="F156" s="5">
        <v>0</v>
      </c>
      <c r="G156" s="5">
        <v>0</v>
      </c>
      <c r="H156" s="5">
        <v>0</v>
      </c>
      <c r="I156" s="5">
        <v>0</v>
      </c>
      <c r="J156" s="5">
        <v>7908.63</v>
      </c>
      <c r="K156" s="5">
        <v>0</v>
      </c>
      <c r="L156" s="3">
        <v>7908.63</v>
      </c>
    </row>
    <row r="157" spans="1:12" x14ac:dyDescent="0.25">
      <c r="A157" s="8" t="s">
        <v>198</v>
      </c>
      <c r="B157" s="5" t="s">
        <v>46</v>
      </c>
      <c r="C157" s="5" t="s">
        <v>37</v>
      </c>
      <c r="D157" s="6" t="s">
        <v>38</v>
      </c>
      <c r="E157" s="5" t="s">
        <v>34</v>
      </c>
      <c r="F157" s="3">
        <v>0</v>
      </c>
      <c r="G157" s="3">
        <v>0</v>
      </c>
      <c r="H157" s="3">
        <v>0</v>
      </c>
      <c r="I157" s="3">
        <v>0</v>
      </c>
      <c r="J157" s="3">
        <v>7821.78</v>
      </c>
      <c r="K157" s="3">
        <v>0</v>
      </c>
      <c r="L157" s="3">
        <v>7821.78</v>
      </c>
    </row>
    <row r="158" spans="1:12" x14ac:dyDescent="0.25">
      <c r="A158" s="8" t="s">
        <v>332</v>
      </c>
      <c r="B158" s="5" t="s">
        <v>17</v>
      </c>
      <c r="C158" s="5" t="s">
        <v>18</v>
      </c>
      <c r="D158" s="6" t="e">
        <v>#N/A</v>
      </c>
      <c r="E158" s="5" t="s">
        <v>15</v>
      </c>
      <c r="F158" s="3">
        <v>7800</v>
      </c>
      <c r="G158" s="3">
        <v>0</v>
      </c>
      <c r="H158" s="3">
        <v>3.37</v>
      </c>
      <c r="I158" s="3">
        <v>0</v>
      </c>
      <c r="J158" s="3">
        <v>0</v>
      </c>
      <c r="K158" s="3">
        <v>0</v>
      </c>
      <c r="L158" s="3">
        <v>7803.37</v>
      </c>
    </row>
    <row r="159" spans="1:12" x14ac:dyDescent="0.25">
      <c r="A159" s="8" t="s">
        <v>89</v>
      </c>
      <c r="B159" s="5" t="s">
        <v>17</v>
      </c>
      <c r="C159" s="5" t="s">
        <v>37</v>
      </c>
      <c r="D159" s="6" t="e">
        <v>#N/A</v>
      </c>
      <c r="E159" s="5" t="s">
        <v>15</v>
      </c>
      <c r="F159" s="3">
        <v>0</v>
      </c>
      <c r="G159" s="3">
        <v>7630</v>
      </c>
      <c r="H159" s="3">
        <v>0</v>
      </c>
      <c r="I159" s="3">
        <v>0</v>
      </c>
      <c r="J159" s="3">
        <v>0</v>
      </c>
      <c r="K159" s="3">
        <v>0</v>
      </c>
      <c r="L159" s="3">
        <v>7630</v>
      </c>
    </row>
    <row r="160" spans="1:12" x14ac:dyDescent="0.25">
      <c r="A160" s="5" t="s">
        <v>199</v>
      </c>
      <c r="B160" s="5" t="s">
        <v>17</v>
      </c>
      <c r="C160" s="5" t="s">
        <v>14</v>
      </c>
      <c r="D160" s="6" t="s">
        <v>19</v>
      </c>
      <c r="E160" s="5" t="s">
        <v>15</v>
      </c>
      <c r="F160" s="5">
        <v>0</v>
      </c>
      <c r="G160" s="5">
        <v>0</v>
      </c>
      <c r="H160" s="5">
        <v>7507.25</v>
      </c>
      <c r="I160" s="5">
        <v>0</v>
      </c>
      <c r="J160" s="5">
        <v>0</v>
      </c>
      <c r="K160" s="5">
        <v>0</v>
      </c>
      <c r="L160" s="3">
        <v>7507.25</v>
      </c>
    </row>
    <row r="161" spans="1:12" x14ac:dyDescent="0.25">
      <c r="A161" s="8" t="s">
        <v>140</v>
      </c>
      <c r="B161" s="5" t="s">
        <v>46</v>
      </c>
      <c r="C161" s="5" t="s">
        <v>37</v>
      </c>
      <c r="D161" s="6" t="s">
        <v>38</v>
      </c>
      <c r="E161" s="5" t="s">
        <v>48</v>
      </c>
      <c r="F161" s="3">
        <v>0</v>
      </c>
      <c r="G161" s="3">
        <v>7196.2</v>
      </c>
      <c r="H161" s="3">
        <v>0</v>
      </c>
      <c r="I161" s="3">
        <v>0</v>
      </c>
      <c r="J161" s="3">
        <v>0</v>
      </c>
      <c r="K161" s="3">
        <v>0</v>
      </c>
      <c r="L161" s="3">
        <v>7196.2</v>
      </c>
    </row>
    <row r="162" spans="1:12" x14ac:dyDescent="0.25">
      <c r="A162" s="8" t="s">
        <v>339</v>
      </c>
      <c r="B162" s="5" t="s">
        <v>46</v>
      </c>
      <c r="C162" s="5" t="s">
        <v>37</v>
      </c>
      <c r="D162" s="6" t="e">
        <v>#N/A</v>
      </c>
      <c r="E162" s="5" t="s">
        <v>127</v>
      </c>
      <c r="F162" s="3">
        <v>505</v>
      </c>
      <c r="G162" s="3">
        <v>6522.25</v>
      </c>
      <c r="H162" s="3">
        <v>-1.45</v>
      </c>
      <c r="I162" s="3">
        <v>0</v>
      </c>
      <c r="J162" s="3">
        <v>0</v>
      </c>
      <c r="K162" s="3">
        <v>0</v>
      </c>
      <c r="L162" s="3">
        <v>7025.8</v>
      </c>
    </row>
    <row r="163" spans="1:12" x14ac:dyDescent="0.25">
      <c r="A163" s="5" t="s">
        <v>200</v>
      </c>
      <c r="B163" s="5" t="s">
        <v>46</v>
      </c>
      <c r="C163" s="5" t="s">
        <v>37</v>
      </c>
      <c r="D163" s="6" t="s">
        <v>38</v>
      </c>
      <c r="E163" s="5" t="s">
        <v>127</v>
      </c>
      <c r="F163" s="5">
        <v>0</v>
      </c>
      <c r="G163" s="5">
        <v>0</v>
      </c>
      <c r="H163" s="5">
        <v>7010</v>
      </c>
      <c r="I163" s="5">
        <v>0</v>
      </c>
      <c r="J163" s="5">
        <v>0</v>
      </c>
      <c r="K163" s="5">
        <v>0</v>
      </c>
      <c r="L163" s="3">
        <v>7010</v>
      </c>
    </row>
    <row r="164" spans="1:12" x14ac:dyDescent="0.25">
      <c r="A164" s="8" t="s">
        <v>248</v>
      </c>
      <c r="B164" s="5" t="s">
        <v>46</v>
      </c>
      <c r="C164" s="5" t="s">
        <v>37</v>
      </c>
      <c r="D164" s="6" t="s">
        <v>38</v>
      </c>
      <c r="E164" s="5" t="s">
        <v>51</v>
      </c>
      <c r="F164" s="3">
        <v>0</v>
      </c>
      <c r="G164" s="3">
        <v>5674</v>
      </c>
      <c r="H164" s="3">
        <v>-0.79</v>
      </c>
      <c r="I164" s="3">
        <v>1126.67</v>
      </c>
      <c r="J164" s="3">
        <v>0</v>
      </c>
      <c r="K164" s="3">
        <v>0</v>
      </c>
      <c r="L164" s="3">
        <v>6799.88</v>
      </c>
    </row>
    <row r="165" spans="1:12" x14ac:dyDescent="0.25">
      <c r="A165" s="5" t="s">
        <v>203</v>
      </c>
      <c r="B165" s="5" t="s">
        <v>46</v>
      </c>
      <c r="C165" s="5" t="s">
        <v>37</v>
      </c>
      <c r="D165" s="6" t="s">
        <v>38</v>
      </c>
      <c r="E165" s="5" t="s">
        <v>34</v>
      </c>
      <c r="F165" s="5">
        <v>0</v>
      </c>
      <c r="G165" s="5">
        <v>0</v>
      </c>
      <c r="H165" s="5">
        <v>0</v>
      </c>
      <c r="I165" s="5">
        <v>0</v>
      </c>
      <c r="J165" s="5">
        <v>6524.1</v>
      </c>
      <c r="K165" s="5">
        <v>0</v>
      </c>
      <c r="L165" s="3">
        <v>6524.1</v>
      </c>
    </row>
    <row r="166" spans="1:12" x14ac:dyDescent="0.25">
      <c r="A166" s="5" t="s">
        <v>204</v>
      </c>
      <c r="B166" s="5" t="s">
        <v>46</v>
      </c>
      <c r="C166" s="5" t="s">
        <v>37</v>
      </c>
      <c r="D166" s="6" t="s">
        <v>38</v>
      </c>
      <c r="E166" s="5" t="s">
        <v>51</v>
      </c>
      <c r="F166" s="5">
        <v>0</v>
      </c>
      <c r="G166" s="5">
        <v>0</v>
      </c>
      <c r="H166" s="5">
        <v>0</v>
      </c>
      <c r="I166" s="5">
        <v>0</v>
      </c>
      <c r="J166" s="5">
        <v>6350</v>
      </c>
      <c r="K166" s="5">
        <v>0</v>
      </c>
      <c r="L166" s="3">
        <v>6350</v>
      </c>
    </row>
    <row r="167" spans="1:12" x14ac:dyDescent="0.25">
      <c r="A167" s="8" t="s">
        <v>205</v>
      </c>
      <c r="B167" s="5" t="s">
        <v>46</v>
      </c>
      <c r="C167" s="5" t="s">
        <v>37</v>
      </c>
      <c r="D167" s="6" t="s">
        <v>38</v>
      </c>
      <c r="E167" s="5" t="s">
        <v>51</v>
      </c>
      <c r="F167" s="3">
        <v>0</v>
      </c>
      <c r="G167" s="3">
        <v>0</v>
      </c>
      <c r="H167" s="3">
        <v>0</v>
      </c>
      <c r="I167" s="3">
        <v>1.22</v>
      </c>
      <c r="J167" s="3">
        <v>6308.58</v>
      </c>
      <c r="K167" s="3">
        <v>0</v>
      </c>
      <c r="L167" s="3">
        <v>6309.8</v>
      </c>
    </row>
    <row r="168" spans="1:12" x14ac:dyDescent="0.25">
      <c r="A168" s="8" t="s">
        <v>347</v>
      </c>
      <c r="B168" s="5" t="s">
        <v>46</v>
      </c>
      <c r="C168" s="5" t="s">
        <v>37</v>
      </c>
      <c r="D168" s="6" t="e">
        <v>#N/A</v>
      </c>
      <c r="E168" s="5" t="s">
        <v>51</v>
      </c>
      <c r="F168" s="3">
        <v>5110</v>
      </c>
      <c r="G168" s="3">
        <v>1077.9000000000001</v>
      </c>
      <c r="H168" s="3">
        <v>0</v>
      </c>
      <c r="I168" s="3">
        <v>0</v>
      </c>
      <c r="J168" s="3">
        <v>0</v>
      </c>
      <c r="K168" s="3">
        <v>0</v>
      </c>
      <c r="L168" s="3">
        <v>6187.9</v>
      </c>
    </row>
    <row r="169" spans="1:12" x14ac:dyDescent="0.25">
      <c r="A169" s="8" t="s">
        <v>215</v>
      </c>
      <c r="B169" s="5" t="s">
        <v>46</v>
      </c>
      <c r="C169" s="5" t="s">
        <v>37</v>
      </c>
      <c r="D169" s="6" t="s">
        <v>38</v>
      </c>
      <c r="E169" s="5" t="s">
        <v>34</v>
      </c>
      <c r="F169" s="3">
        <v>0</v>
      </c>
      <c r="G169" s="3">
        <v>5820</v>
      </c>
      <c r="H169" s="3">
        <v>0</v>
      </c>
      <c r="I169" s="3">
        <v>0</v>
      </c>
      <c r="J169" s="3">
        <v>0</v>
      </c>
      <c r="K169" s="3">
        <v>0</v>
      </c>
      <c r="L169" s="3">
        <v>5820</v>
      </c>
    </row>
    <row r="170" spans="1:12" x14ac:dyDescent="0.25">
      <c r="A170" s="8" t="s">
        <v>206</v>
      </c>
      <c r="B170" s="5" t="s">
        <v>46</v>
      </c>
      <c r="C170" s="5" t="s">
        <v>37</v>
      </c>
      <c r="D170" s="6" t="s">
        <v>38</v>
      </c>
      <c r="E170" s="5" t="s">
        <v>127</v>
      </c>
      <c r="F170" s="3">
        <v>0</v>
      </c>
      <c r="G170" s="3">
        <v>0</v>
      </c>
      <c r="H170" s="3">
        <v>0</v>
      </c>
      <c r="I170" s="3">
        <v>0</v>
      </c>
      <c r="J170" s="3">
        <v>5778.44</v>
      </c>
      <c r="K170" s="3">
        <v>0</v>
      </c>
      <c r="L170" s="3">
        <v>5778.44</v>
      </c>
    </row>
    <row r="171" spans="1:12" x14ac:dyDescent="0.25">
      <c r="A171" s="5" t="s">
        <v>335</v>
      </c>
      <c r="B171" s="5" t="s">
        <v>46</v>
      </c>
      <c r="C171" s="5" t="s">
        <v>37</v>
      </c>
      <c r="D171" s="6" t="e">
        <v>#N/A</v>
      </c>
      <c r="E171" s="5" t="s">
        <v>34</v>
      </c>
      <c r="F171" s="5">
        <v>0</v>
      </c>
      <c r="G171" s="5">
        <v>5589.05</v>
      </c>
      <c r="H171" s="5">
        <v>0</v>
      </c>
      <c r="I171" s="5">
        <v>0</v>
      </c>
      <c r="J171" s="5">
        <v>0</v>
      </c>
      <c r="K171" s="5">
        <v>0</v>
      </c>
      <c r="L171" s="3">
        <v>5589.05</v>
      </c>
    </row>
    <row r="172" spans="1:12" x14ac:dyDescent="0.25">
      <c r="A172" s="5" t="s">
        <v>105</v>
      </c>
      <c r="B172" s="5" t="s">
        <v>46</v>
      </c>
      <c r="C172" s="5" t="s">
        <v>37</v>
      </c>
      <c r="D172" s="6" t="s">
        <v>38</v>
      </c>
      <c r="E172" s="5" t="s">
        <v>51</v>
      </c>
      <c r="F172" s="5">
        <v>0</v>
      </c>
      <c r="G172" s="5">
        <v>5225</v>
      </c>
      <c r="H172" s="5">
        <v>0</v>
      </c>
      <c r="I172" s="5">
        <v>0</v>
      </c>
      <c r="J172" s="5">
        <v>0</v>
      </c>
      <c r="K172" s="5">
        <v>0</v>
      </c>
      <c r="L172" s="3">
        <v>5225</v>
      </c>
    </row>
    <row r="173" spans="1:12" x14ac:dyDescent="0.25">
      <c r="A173" s="5" t="s">
        <v>336</v>
      </c>
      <c r="B173" s="5" t="s">
        <v>46</v>
      </c>
      <c r="C173" s="5" t="s">
        <v>37</v>
      </c>
      <c r="D173" s="6" t="e">
        <v>#N/A</v>
      </c>
      <c r="E173" s="5" t="s">
        <v>79</v>
      </c>
      <c r="F173" s="5">
        <v>0</v>
      </c>
      <c r="G173" s="5">
        <v>6029.44</v>
      </c>
      <c r="H173" s="5">
        <v>0</v>
      </c>
      <c r="I173" s="5">
        <v>0</v>
      </c>
      <c r="J173" s="5">
        <v>-926.5</v>
      </c>
      <c r="K173" s="5">
        <v>0</v>
      </c>
      <c r="L173" s="3">
        <v>5102.9399999999996</v>
      </c>
    </row>
    <row r="174" spans="1:12" x14ac:dyDescent="0.25">
      <c r="A174" s="8" t="s">
        <v>353</v>
      </c>
      <c r="B174" s="5" t="s">
        <v>17</v>
      </c>
      <c r="C174" s="5" t="s">
        <v>37</v>
      </c>
      <c r="D174" s="6" t="e">
        <v>#N/A</v>
      </c>
      <c r="E174" s="5" t="s">
        <v>15</v>
      </c>
      <c r="F174" s="3">
        <v>0</v>
      </c>
      <c r="G174" s="3">
        <v>5043.25</v>
      </c>
      <c r="H174" s="3">
        <v>0</v>
      </c>
      <c r="I174" s="3">
        <v>0</v>
      </c>
      <c r="J174" s="3">
        <v>0</v>
      </c>
      <c r="K174" s="3">
        <v>0</v>
      </c>
      <c r="L174" s="3">
        <v>5043.25</v>
      </c>
    </row>
    <row r="175" spans="1:12" x14ac:dyDescent="0.25">
      <c r="A175" s="8" t="s">
        <v>358</v>
      </c>
      <c r="B175" s="5" t="s">
        <v>46</v>
      </c>
      <c r="C175" s="5" t="s">
        <v>37</v>
      </c>
      <c r="D175" s="6" t="e">
        <v>#N/A</v>
      </c>
      <c r="E175" s="5" t="s">
        <v>48</v>
      </c>
      <c r="F175" s="3">
        <v>0</v>
      </c>
      <c r="G175" s="3">
        <v>4923.54</v>
      </c>
      <c r="H175" s="3">
        <v>-0.46</v>
      </c>
      <c r="I175" s="3">
        <v>0</v>
      </c>
      <c r="J175" s="3">
        <v>0</v>
      </c>
      <c r="K175" s="3">
        <v>0</v>
      </c>
      <c r="L175" s="3">
        <v>4923.08</v>
      </c>
    </row>
    <row r="176" spans="1:12" x14ac:dyDescent="0.25">
      <c r="A176" s="5" t="s">
        <v>211</v>
      </c>
      <c r="B176" s="5" t="s">
        <v>17</v>
      </c>
      <c r="C176" s="5" t="s">
        <v>14</v>
      </c>
      <c r="D176" s="6" t="s">
        <v>38</v>
      </c>
      <c r="E176" s="5" t="s">
        <v>41</v>
      </c>
      <c r="F176" s="5">
        <v>0</v>
      </c>
      <c r="G176" s="5">
        <v>0</v>
      </c>
      <c r="H176" s="5">
        <v>0</v>
      </c>
      <c r="I176" s="5">
        <v>0</v>
      </c>
      <c r="J176" s="5">
        <v>4880</v>
      </c>
      <c r="K176" s="5">
        <v>0</v>
      </c>
      <c r="L176" s="3">
        <v>4880</v>
      </c>
    </row>
    <row r="177" spans="1:12" x14ac:dyDescent="0.25">
      <c r="A177" s="5" t="s">
        <v>208</v>
      </c>
      <c r="B177" s="5" t="s">
        <v>17</v>
      </c>
      <c r="C177" s="5" t="s">
        <v>37</v>
      </c>
      <c r="D177" s="6" t="e">
        <v>#N/A</v>
      </c>
      <c r="E177" s="5" t="s">
        <v>15</v>
      </c>
      <c r="F177" s="5">
        <v>0</v>
      </c>
      <c r="G177" s="5">
        <v>4878.57</v>
      </c>
      <c r="H177" s="5">
        <v>0</v>
      </c>
      <c r="I177" s="5">
        <v>0</v>
      </c>
      <c r="J177" s="5">
        <v>0</v>
      </c>
      <c r="K177" s="5">
        <v>0</v>
      </c>
      <c r="L177" s="3">
        <v>4878.57</v>
      </c>
    </row>
    <row r="178" spans="1:12" x14ac:dyDescent="0.25">
      <c r="A178" s="8" t="s">
        <v>330</v>
      </c>
      <c r="B178" s="5" t="s">
        <v>46</v>
      </c>
      <c r="C178" s="5" t="s">
        <v>37</v>
      </c>
      <c r="D178" s="6" t="s">
        <v>38</v>
      </c>
      <c r="E178" s="5" t="s">
        <v>51</v>
      </c>
      <c r="F178" s="3">
        <v>0</v>
      </c>
      <c r="G178" s="3">
        <v>4662</v>
      </c>
      <c r="H178" s="3">
        <v>0</v>
      </c>
      <c r="I178" s="3">
        <v>0</v>
      </c>
      <c r="J178" s="3">
        <v>0</v>
      </c>
      <c r="K178" s="3">
        <v>0</v>
      </c>
      <c r="L178" s="3">
        <v>4662</v>
      </c>
    </row>
    <row r="179" spans="1:12" x14ac:dyDescent="0.25">
      <c r="A179" s="8" t="s">
        <v>213</v>
      </c>
      <c r="B179" s="5" t="s">
        <v>46</v>
      </c>
      <c r="C179" s="5" t="s">
        <v>37</v>
      </c>
      <c r="D179" s="6" t="s">
        <v>38</v>
      </c>
      <c r="E179" s="5" t="s">
        <v>127</v>
      </c>
      <c r="F179" s="3">
        <v>0</v>
      </c>
      <c r="G179" s="3">
        <v>0</v>
      </c>
      <c r="H179" s="3">
        <v>0</v>
      </c>
      <c r="I179" s="3">
        <v>0</v>
      </c>
      <c r="J179" s="3">
        <v>4564.09</v>
      </c>
      <c r="K179" s="3">
        <v>0</v>
      </c>
      <c r="L179" s="3">
        <v>4564.09</v>
      </c>
    </row>
    <row r="180" spans="1:12" x14ac:dyDescent="0.25">
      <c r="A180" s="5" t="s">
        <v>214</v>
      </c>
      <c r="B180" s="5" t="s">
        <v>46</v>
      </c>
      <c r="C180" s="5" t="s">
        <v>37</v>
      </c>
      <c r="D180" s="6" t="s">
        <v>38</v>
      </c>
      <c r="E180" s="5" t="s">
        <v>51</v>
      </c>
      <c r="F180" s="5">
        <v>0</v>
      </c>
      <c r="G180" s="5">
        <v>0</v>
      </c>
      <c r="H180" s="5">
        <v>0</v>
      </c>
      <c r="I180" s="5">
        <v>0</v>
      </c>
      <c r="J180" s="5">
        <v>4464.7</v>
      </c>
      <c r="K180" s="5">
        <v>0</v>
      </c>
      <c r="L180" s="3">
        <v>4464.7</v>
      </c>
    </row>
    <row r="181" spans="1:12" x14ac:dyDescent="0.25">
      <c r="A181" s="8" t="s">
        <v>354</v>
      </c>
      <c r="B181" s="5" t="s">
        <v>46</v>
      </c>
      <c r="C181" s="5" t="s">
        <v>37</v>
      </c>
      <c r="D181" s="6" t="e">
        <v>#N/A</v>
      </c>
      <c r="E181" s="5" t="s">
        <v>51</v>
      </c>
      <c r="F181" s="3">
        <v>0</v>
      </c>
      <c r="G181" s="3">
        <v>1411</v>
      </c>
      <c r="H181" s="3">
        <v>0</v>
      </c>
      <c r="I181" s="3">
        <v>0</v>
      </c>
      <c r="J181" s="3">
        <v>3015</v>
      </c>
      <c r="K181" s="3">
        <v>0</v>
      </c>
      <c r="L181" s="3">
        <v>4426</v>
      </c>
    </row>
    <row r="182" spans="1:12" x14ac:dyDescent="0.25">
      <c r="A182" s="8" t="s">
        <v>217</v>
      </c>
      <c r="B182" s="5" t="s">
        <v>46</v>
      </c>
      <c r="C182" s="5" t="s">
        <v>37</v>
      </c>
      <c r="D182" s="6" t="s">
        <v>38</v>
      </c>
      <c r="E182" s="5" t="s">
        <v>51</v>
      </c>
      <c r="F182" s="3">
        <v>0</v>
      </c>
      <c r="G182" s="3">
        <v>0</v>
      </c>
      <c r="H182" s="3">
        <v>0</v>
      </c>
      <c r="I182" s="3">
        <v>0</v>
      </c>
      <c r="J182" s="3">
        <v>4300</v>
      </c>
      <c r="K182" s="3">
        <v>0</v>
      </c>
      <c r="L182" s="3">
        <v>4300</v>
      </c>
    </row>
    <row r="183" spans="1:12" x14ac:dyDescent="0.25">
      <c r="A183" s="8" t="s">
        <v>326</v>
      </c>
      <c r="B183" s="5" t="s">
        <v>46</v>
      </c>
      <c r="C183" s="5" t="s">
        <v>37</v>
      </c>
      <c r="D183" s="6" t="s">
        <v>38</v>
      </c>
      <c r="E183" s="5" t="s">
        <v>48</v>
      </c>
      <c r="F183" s="3">
        <v>0</v>
      </c>
      <c r="G183" s="3">
        <v>4200</v>
      </c>
      <c r="H183" s="3">
        <v>0</v>
      </c>
      <c r="I183" s="3">
        <v>0</v>
      </c>
      <c r="J183" s="3">
        <v>0</v>
      </c>
      <c r="K183" s="3">
        <v>0</v>
      </c>
      <c r="L183" s="3">
        <v>4200</v>
      </c>
    </row>
    <row r="184" spans="1:12" x14ac:dyDescent="0.25">
      <c r="A184" s="8" t="s">
        <v>359</v>
      </c>
      <c r="B184" s="5" t="s">
        <v>46</v>
      </c>
      <c r="C184" s="5" t="s">
        <v>37</v>
      </c>
      <c r="D184" s="6" t="e">
        <v>#N/A</v>
      </c>
      <c r="E184" s="5" t="s">
        <v>79</v>
      </c>
      <c r="F184" s="3">
        <v>0</v>
      </c>
      <c r="G184" s="3">
        <v>4161.8500000000004</v>
      </c>
      <c r="H184" s="3">
        <v>0</v>
      </c>
      <c r="I184" s="3">
        <v>0</v>
      </c>
      <c r="J184" s="3">
        <v>0</v>
      </c>
      <c r="K184" s="3">
        <v>0</v>
      </c>
      <c r="L184" s="3">
        <v>4161.8500000000004</v>
      </c>
    </row>
    <row r="185" spans="1:12" x14ac:dyDescent="0.25">
      <c r="A185" s="8" t="s">
        <v>290</v>
      </c>
      <c r="B185" s="5" t="s">
        <v>46</v>
      </c>
      <c r="C185" s="5" t="s">
        <v>37</v>
      </c>
      <c r="D185" s="6" t="s">
        <v>38</v>
      </c>
      <c r="E185" s="5" t="s">
        <v>79</v>
      </c>
      <c r="F185" s="3">
        <v>0</v>
      </c>
      <c r="G185" s="3">
        <v>714</v>
      </c>
      <c r="H185" s="3">
        <v>2959.5</v>
      </c>
      <c r="I185" s="3">
        <v>0</v>
      </c>
      <c r="J185" s="3">
        <v>485</v>
      </c>
      <c r="K185" s="3">
        <v>0</v>
      </c>
      <c r="L185" s="3">
        <v>4158.5</v>
      </c>
    </row>
    <row r="186" spans="1:12" x14ac:dyDescent="0.25">
      <c r="A186" s="8" t="s">
        <v>219</v>
      </c>
      <c r="B186" s="5" t="s">
        <v>46</v>
      </c>
      <c r="C186" s="5" t="s">
        <v>37</v>
      </c>
      <c r="D186" s="6" t="s">
        <v>38</v>
      </c>
      <c r="E186" s="5" t="s">
        <v>51</v>
      </c>
      <c r="F186" s="3">
        <v>0</v>
      </c>
      <c r="G186" s="3">
        <v>0</v>
      </c>
      <c r="H186" s="3">
        <v>0</v>
      </c>
      <c r="I186" s="3">
        <v>4072</v>
      </c>
      <c r="J186" s="3">
        <v>0</v>
      </c>
      <c r="K186" s="3">
        <v>0</v>
      </c>
      <c r="L186" s="3">
        <v>4072</v>
      </c>
    </row>
    <row r="187" spans="1:12" x14ac:dyDescent="0.25">
      <c r="A187" s="8" t="s">
        <v>221</v>
      </c>
      <c r="B187" s="5" t="s">
        <v>17</v>
      </c>
      <c r="C187" s="5" t="s">
        <v>18</v>
      </c>
      <c r="D187" s="6" t="s">
        <v>21</v>
      </c>
      <c r="E187" s="5" t="s">
        <v>15</v>
      </c>
      <c r="F187" s="3">
        <v>0</v>
      </c>
      <c r="G187" s="3">
        <v>0</v>
      </c>
      <c r="H187" s="3">
        <v>0</v>
      </c>
      <c r="I187" s="3">
        <v>0</v>
      </c>
      <c r="J187" s="3">
        <v>3826.2</v>
      </c>
      <c r="K187" s="3">
        <v>0</v>
      </c>
      <c r="L187" s="3">
        <v>3826.2</v>
      </c>
    </row>
    <row r="188" spans="1:12" x14ac:dyDescent="0.25">
      <c r="A188" s="8" t="s">
        <v>223</v>
      </c>
      <c r="B188" s="5" t="s">
        <v>46</v>
      </c>
      <c r="C188" s="5" t="s">
        <v>37</v>
      </c>
      <c r="D188" s="6" t="s">
        <v>38</v>
      </c>
      <c r="E188" s="5" t="s">
        <v>79</v>
      </c>
      <c r="F188" s="3">
        <v>0</v>
      </c>
      <c r="G188" s="3">
        <v>0</v>
      </c>
      <c r="H188" s="3">
        <v>0</v>
      </c>
      <c r="I188" s="3">
        <v>0</v>
      </c>
      <c r="J188" s="3">
        <v>3615.02</v>
      </c>
      <c r="K188" s="3">
        <v>0</v>
      </c>
      <c r="L188" s="3">
        <v>3615.02</v>
      </c>
    </row>
    <row r="189" spans="1:12" x14ac:dyDescent="0.25">
      <c r="A189" s="5" t="s">
        <v>224</v>
      </c>
      <c r="B189" s="5" t="s">
        <v>17</v>
      </c>
      <c r="C189" s="5" t="s">
        <v>37</v>
      </c>
      <c r="D189" s="6" t="s">
        <v>38</v>
      </c>
      <c r="E189" s="5" t="s">
        <v>15</v>
      </c>
      <c r="F189" s="5">
        <v>0</v>
      </c>
      <c r="G189" s="5">
        <v>0</v>
      </c>
      <c r="H189" s="5">
        <v>3480</v>
      </c>
      <c r="I189" s="5">
        <v>0</v>
      </c>
      <c r="J189" s="5">
        <v>0</v>
      </c>
      <c r="K189" s="5">
        <v>0</v>
      </c>
      <c r="L189" s="3">
        <v>3480</v>
      </c>
    </row>
    <row r="190" spans="1:12" x14ac:dyDescent="0.25">
      <c r="A190" s="5" t="s">
        <v>225</v>
      </c>
      <c r="B190" s="5" t="s">
        <v>46</v>
      </c>
      <c r="C190" s="5" t="s">
        <v>37</v>
      </c>
      <c r="D190" s="6" t="s">
        <v>38</v>
      </c>
      <c r="E190" s="5" t="s">
        <v>34</v>
      </c>
      <c r="F190" s="5">
        <v>0</v>
      </c>
      <c r="G190" s="5">
        <v>0</v>
      </c>
      <c r="H190" s="5">
        <v>0</v>
      </c>
      <c r="I190" s="5">
        <v>0</v>
      </c>
      <c r="J190" s="5">
        <v>3468.5</v>
      </c>
      <c r="K190" s="5">
        <v>0</v>
      </c>
      <c r="L190" s="3">
        <v>3468.5</v>
      </c>
    </row>
    <row r="191" spans="1:12" x14ac:dyDescent="0.25">
      <c r="A191" s="8" t="s">
        <v>227</v>
      </c>
      <c r="B191" s="5" t="s">
        <v>46</v>
      </c>
      <c r="C191" s="5" t="s">
        <v>37</v>
      </c>
      <c r="D191" s="6" t="s">
        <v>38</v>
      </c>
      <c r="E191" s="5" t="s">
        <v>181</v>
      </c>
      <c r="F191" s="3">
        <v>0</v>
      </c>
      <c r="G191" s="3">
        <v>0</v>
      </c>
      <c r="H191" s="3">
        <v>3325</v>
      </c>
      <c r="I191" s="3">
        <v>0</v>
      </c>
      <c r="J191" s="3">
        <v>0</v>
      </c>
      <c r="K191" s="3">
        <v>0</v>
      </c>
      <c r="L191" s="3">
        <v>3325</v>
      </c>
    </row>
    <row r="192" spans="1:12" x14ac:dyDescent="0.25">
      <c r="A192" s="5" t="s">
        <v>229</v>
      </c>
      <c r="B192" s="5" t="s">
        <v>46</v>
      </c>
      <c r="C192" s="5" t="s">
        <v>37</v>
      </c>
      <c r="D192" s="6" t="s">
        <v>38</v>
      </c>
      <c r="E192" s="5" t="s">
        <v>34</v>
      </c>
      <c r="F192" s="5">
        <v>0</v>
      </c>
      <c r="G192" s="5">
        <v>0</v>
      </c>
      <c r="H192" s="5">
        <v>0</v>
      </c>
      <c r="I192" s="5">
        <v>0</v>
      </c>
      <c r="J192" s="5">
        <v>3205</v>
      </c>
      <c r="K192" s="5">
        <v>0</v>
      </c>
      <c r="L192" s="3">
        <v>3205</v>
      </c>
    </row>
    <row r="193" spans="1:12" x14ac:dyDescent="0.25">
      <c r="A193" s="5" t="s">
        <v>351</v>
      </c>
      <c r="B193" s="5" t="s">
        <v>46</v>
      </c>
      <c r="C193" s="5" t="s">
        <v>37</v>
      </c>
      <c r="D193" s="6" t="e">
        <v>#N/A</v>
      </c>
      <c r="E193" s="5" t="s">
        <v>79</v>
      </c>
      <c r="F193" s="5">
        <v>0</v>
      </c>
      <c r="G193" s="5">
        <v>2900</v>
      </c>
      <c r="H193" s="5">
        <v>0</v>
      </c>
      <c r="I193" s="5">
        <v>0</v>
      </c>
      <c r="J193" s="5">
        <v>0</v>
      </c>
      <c r="K193" s="5">
        <v>0</v>
      </c>
      <c r="L193" s="3">
        <v>2900</v>
      </c>
    </row>
    <row r="194" spans="1:12" x14ac:dyDescent="0.25">
      <c r="A194" s="8" t="s">
        <v>231</v>
      </c>
      <c r="B194" s="5" t="s">
        <v>46</v>
      </c>
      <c r="C194" s="5" t="s">
        <v>18</v>
      </c>
      <c r="D194" s="6" t="s">
        <v>31</v>
      </c>
      <c r="E194" s="5" t="s">
        <v>51</v>
      </c>
      <c r="F194" s="3">
        <v>0</v>
      </c>
      <c r="G194" s="3">
        <v>0</v>
      </c>
      <c r="H194" s="3">
        <v>0</v>
      </c>
      <c r="I194" s="3">
        <v>0</v>
      </c>
      <c r="J194" s="3">
        <v>2794.66</v>
      </c>
      <c r="K194" s="3">
        <v>0</v>
      </c>
      <c r="L194" s="3">
        <v>2794.66</v>
      </c>
    </row>
    <row r="195" spans="1:12" x14ac:dyDescent="0.25">
      <c r="A195" s="5" t="s">
        <v>350</v>
      </c>
      <c r="B195" s="5" t="s">
        <v>46</v>
      </c>
      <c r="C195" s="5" t="s">
        <v>37</v>
      </c>
      <c r="D195" s="6" t="e">
        <v>#N/A</v>
      </c>
      <c r="E195" s="5" t="s">
        <v>127</v>
      </c>
      <c r="F195" s="5">
        <v>0</v>
      </c>
      <c r="G195" s="5">
        <v>2740</v>
      </c>
      <c r="H195" s="5">
        <v>0</v>
      </c>
      <c r="I195" s="5">
        <v>0</v>
      </c>
      <c r="J195" s="5">
        <v>0</v>
      </c>
      <c r="K195" s="5">
        <v>0</v>
      </c>
      <c r="L195" s="3">
        <v>2740</v>
      </c>
    </row>
    <row r="196" spans="1:12" x14ac:dyDescent="0.25">
      <c r="A196" s="5" t="s">
        <v>345</v>
      </c>
      <c r="B196" s="5" t="s">
        <v>46</v>
      </c>
      <c r="C196" s="5" t="s">
        <v>37</v>
      </c>
      <c r="D196" s="6" t="e">
        <v>#N/A</v>
      </c>
      <c r="E196" s="5" t="s">
        <v>79</v>
      </c>
      <c r="F196" s="5">
        <v>0</v>
      </c>
      <c r="G196" s="5">
        <v>2700</v>
      </c>
      <c r="H196" s="5">
        <v>-0.62</v>
      </c>
      <c r="I196" s="5">
        <v>0</v>
      </c>
      <c r="J196" s="5">
        <v>0</v>
      </c>
      <c r="K196" s="5">
        <v>0</v>
      </c>
      <c r="L196" s="3">
        <v>2699.38</v>
      </c>
    </row>
    <row r="197" spans="1:12" x14ac:dyDescent="0.25">
      <c r="A197" s="8" t="s">
        <v>232</v>
      </c>
      <c r="B197" s="5" t="s">
        <v>46</v>
      </c>
      <c r="C197" s="5" t="s">
        <v>37</v>
      </c>
      <c r="D197" s="6" t="s">
        <v>38</v>
      </c>
      <c r="E197" s="5" t="s">
        <v>127</v>
      </c>
      <c r="F197" s="3">
        <v>0</v>
      </c>
      <c r="G197" s="3">
        <v>2625</v>
      </c>
      <c r="H197" s="3">
        <v>0</v>
      </c>
      <c r="I197" s="3">
        <v>0</v>
      </c>
      <c r="J197" s="3">
        <v>0</v>
      </c>
      <c r="K197" s="3">
        <v>0</v>
      </c>
      <c r="L197" s="3">
        <v>2625</v>
      </c>
    </row>
    <row r="198" spans="1:12" x14ac:dyDescent="0.25">
      <c r="A198" s="5" t="s">
        <v>103</v>
      </c>
      <c r="B198" s="5" t="s">
        <v>17</v>
      </c>
      <c r="C198" s="5" t="s">
        <v>18</v>
      </c>
      <c r="D198" s="6" t="s">
        <v>19</v>
      </c>
      <c r="E198" s="5" t="s">
        <v>15</v>
      </c>
      <c r="F198" s="5">
        <v>0</v>
      </c>
      <c r="G198" s="5">
        <v>0</v>
      </c>
      <c r="H198" s="5">
        <v>2489.7600000000002</v>
      </c>
      <c r="I198" s="5">
        <v>0</v>
      </c>
      <c r="J198" s="5">
        <v>0</v>
      </c>
      <c r="K198" s="5">
        <v>0</v>
      </c>
      <c r="L198" s="3">
        <v>2489.7600000000002</v>
      </c>
    </row>
    <row r="199" spans="1:12" x14ac:dyDescent="0.25">
      <c r="A199" s="8" t="s">
        <v>233</v>
      </c>
      <c r="B199" s="5" t="s">
        <v>46</v>
      </c>
      <c r="C199" s="5" t="s">
        <v>37</v>
      </c>
      <c r="D199" s="6" t="s">
        <v>38</v>
      </c>
      <c r="E199" s="5" t="s">
        <v>51</v>
      </c>
      <c r="F199" s="3">
        <v>0</v>
      </c>
      <c r="G199" s="3">
        <v>0</v>
      </c>
      <c r="H199" s="3">
        <v>0</v>
      </c>
      <c r="I199" s="3">
        <v>0</v>
      </c>
      <c r="J199" s="3">
        <v>2433.39</v>
      </c>
      <c r="K199" s="3">
        <v>0</v>
      </c>
      <c r="L199" s="3">
        <v>2433.39</v>
      </c>
    </row>
    <row r="200" spans="1:12" x14ac:dyDescent="0.25">
      <c r="A200" s="5" t="s">
        <v>236</v>
      </c>
      <c r="B200" s="5" t="s">
        <v>46</v>
      </c>
      <c r="C200" s="5" t="s">
        <v>37</v>
      </c>
      <c r="D200" s="6" t="s">
        <v>38</v>
      </c>
      <c r="E200" s="5" t="s">
        <v>51</v>
      </c>
      <c r="F200" s="5">
        <v>0</v>
      </c>
      <c r="G200" s="5">
        <v>0</v>
      </c>
      <c r="H200" s="5">
        <v>0</v>
      </c>
      <c r="I200" s="5">
        <v>0</v>
      </c>
      <c r="J200" s="5">
        <v>2041</v>
      </c>
      <c r="K200" s="5">
        <v>0</v>
      </c>
      <c r="L200" s="3">
        <v>2041</v>
      </c>
    </row>
    <row r="201" spans="1:12" x14ac:dyDescent="0.25">
      <c r="A201" s="8" t="s">
        <v>238</v>
      </c>
      <c r="B201" s="5" t="s">
        <v>46</v>
      </c>
      <c r="C201" s="5" t="s">
        <v>37</v>
      </c>
      <c r="D201" s="6" t="s">
        <v>38</v>
      </c>
      <c r="E201" s="5" t="s">
        <v>127</v>
      </c>
      <c r="F201" s="3">
        <v>0</v>
      </c>
      <c r="G201" s="3">
        <v>0</v>
      </c>
      <c r="H201" s="3">
        <v>0</v>
      </c>
      <c r="I201" s="3">
        <v>0</v>
      </c>
      <c r="J201" s="3">
        <v>1698.72</v>
      </c>
      <c r="K201" s="3">
        <v>0</v>
      </c>
      <c r="L201" s="3">
        <v>1698.72</v>
      </c>
    </row>
    <row r="202" spans="1:12" x14ac:dyDescent="0.25">
      <c r="A202" s="5" t="s">
        <v>239</v>
      </c>
      <c r="B202" s="5" t="s">
        <v>46</v>
      </c>
      <c r="C202" s="5" t="s">
        <v>37</v>
      </c>
      <c r="D202" s="6" t="s">
        <v>38</v>
      </c>
      <c r="E202" s="5" t="s">
        <v>48</v>
      </c>
      <c r="F202" s="5">
        <v>0</v>
      </c>
      <c r="G202" s="5">
        <v>0</v>
      </c>
      <c r="H202" s="5">
        <v>1626.5</v>
      </c>
      <c r="I202" s="5">
        <v>0</v>
      </c>
      <c r="J202" s="5">
        <v>0</v>
      </c>
      <c r="K202" s="5">
        <v>0</v>
      </c>
      <c r="L202" s="3">
        <v>1626.5</v>
      </c>
    </row>
    <row r="203" spans="1:12" x14ac:dyDescent="0.25">
      <c r="A203" s="8" t="s">
        <v>241</v>
      </c>
      <c r="B203" s="5" t="s">
        <v>46</v>
      </c>
      <c r="C203" s="5" t="s">
        <v>37</v>
      </c>
      <c r="D203" s="6" t="s">
        <v>38</v>
      </c>
      <c r="E203" s="5" t="s">
        <v>48</v>
      </c>
      <c r="F203" s="3">
        <v>0</v>
      </c>
      <c r="G203" s="3">
        <v>64.010000000000005</v>
      </c>
      <c r="H203" s="3">
        <v>1500</v>
      </c>
      <c r="I203" s="3">
        <v>0</v>
      </c>
      <c r="J203" s="3">
        <v>0</v>
      </c>
      <c r="K203" s="3">
        <v>0</v>
      </c>
      <c r="L203" s="3">
        <v>1564.01</v>
      </c>
    </row>
    <row r="204" spans="1:12" x14ac:dyDescent="0.25">
      <c r="A204" s="5" t="s">
        <v>135</v>
      </c>
      <c r="B204" s="5" t="s">
        <v>46</v>
      </c>
      <c r="C204" s="5" t="s">
        <v>37</v>
      </c>
      <c r="D204" s="6" t="s">
        <v>38</v>
      </c>
      <c r="E204" s="5" t="s">
        <v>51</v>
      </c>
      <c r="F204" s="5">
        <v>0</v>
      </c>
      <c r="G204" s="5">
        <v>1506.95</v>
      </c>
      <c r="H204" s="5">
        <v>0</v>
      </c>
      <c r="I204" s="5">
        <v>0</v>
      </c>
      <c r="J204" s="5">
        <v>0</v>
      </c>
      <c r="K204" s="5">
        <v>0</v>
      </c>
      <c r="L204" s="3">
        <v>1506.95</v>
      </c>
    </row>
    <row r="205" spans="1:12" x14ac:dyDescent="0.25">
      <c r="A205" s="5" t="s">
        <v>242</v>
      </c>
      <c r="B205" s="5" t="s">
        <v>46</v>
      </c>
      <c r="C205" s="5" t="s">
        <v>18</v>
      </c>
      <c r="D205" s="6" t="s">
        <v>19</v>
      </c>
      <c r="E205" s="5" t="s">
        <v>127</v>
      </c>
      <c r="F205" s="5">
        <v>0</v>
      </c>
      <c r="G205" s="5">
        <v>18120</v>
      </c>
      <c r="H205" s="5">
        <v>-18120</v>
      </c>
      <c r="I205" s="5">
        <v>0</v>
      </c>
      <c r="J205" s="5">
        <v>1500</v>
      </c>
      <c r="K205" s="5">
        <v>0</v>
      </c>
      <c r="L205" s="3">
        <v>1500</v>
      </c>
    </row>
    <row r="206" spans="1:12" x14ac:dyDescent="0.25">
      <c r="A206" s="5" t="s">
        <v>243</v>
      </c>
      <c r="B206" s="5" t="s">
        <v>46</v>
      </c>
      <c r="C206" s="5" t="s">
        <v>37</v>
      </c>
      <c r="D206" s="6" t="s">
        <v>38</v>
      </c>
      <c r="E206" s="5" t="s">
        <v>34</v>
      </c>
      <c r="F206" s="5">
        <v>0</v>
      </c>
      <c r="G206" s="5">
        <v>0</v>
      </c>
      <c r="H206" s="5">
        <v>0</v>
      </c>
      <c r="I206" s="5">
        <v>0</v>
      </c>
      <c r="J206" s="5">
        <v>1500</v>
      </c>
      <c r="K206" s="5">
        <v>0</v>
      </c>
      <c r="L206" s="3">
        <v>1500</v>
      </c>
    </row>
    <row r="207" spans="1:12" x14ac:dyDescent="0.25">
      <c r="A207" s="8" t="s">
        <v>356</v>
      </c>
      <c r="B207" s="5" t="s">
        <v>46</v>
      </c>
      <c r="C207" s="5" t="s">
        <v>37</v>
      </c>
      <c r="D207" s="6" t="e">
        <v>#N/A</v>
      </c>
      <c r="E207" s="5" t="s">
        <v>34</v>
      </c>
      <c r="F207" s="3">
        <v>0</v>
      </c>
      <c r="G207" s="3">
        <v>1419</v>
      </c>
      <c r="H207" s="3">
        <v>0</v>
      </c>
      <c r="I207" s="3">
        <v>0</v>
      </c>
      <c r="J207" s="3">
        <v>0</v>
      </c>
      <c r="K207" s="3">
        <v>0</v>
      </c>
      <c r="L207" s="3">
        <v>1419</v>
      </c>
    </row>
    <row r="208" spans="1:12" x14ac:dyDescent="0.25">
      <c r="A208" s="5" t="s">
        <v>244</v>
      </c>
      <c r="B208" s="5" t="s">
        <v>17</v>
      </c>
      <c r="C208" s="5" t="s">
        <v>37</v>
      </c>
      <c r="D208" s="6" t="s">
        <v>38</v>
      </c>
      <c r="E208" s="5" t="s">
        <v>15</v>
      </c>
      <c r="F208" s="5">
        <v>0</v>
      </c>
      <c r="G208" s="5">
        <v>0.8</v>
      </c>
      <c r="H208" s="5">
        <v>1326.03</v>
      </c>
      <c r="I208" s="5">
        <v>0</v>
      </c>
      <c r="J208" s="5">
        <v>0</v>
      </c>
      <c r="K208" s="5">
        <v>0</v>
      </c>
      <c r="L208" s="3">
        <v>1326.83</v>
      </c>
    </row>
    <row r="209" spans="1:12" x14ac:dyDescent="0.25">
      <c r="A209" s="8" t="s">
        <v>245</v>
      </c>
      <c r="B209" s="5" t="s">
        <v>46</v>
      </c>
      <c r="C209" s="5" t="s">
        <v>37</v>
      </c>
      <c r="D209" s="6" t="s">
        <v>38</v>
      </c>
      <c r="E209" s="5" t="s">
        <v>79</v>
      </c>
      <c r="F209" s="3">
        <v>0</v>
      </c>
      <c r="G209" s="3">
        <v>0</v>
      </c>
      <c r="H209" s="3">
        <v>0</v>
      </c>
      <c r="I209" s="3">
        <v>0</v>
      </c>
      <c r="J209" s="3">
        <v>1242</v>
      </c>
      <c r="K209" s="3">
        <v>0</v>
      </c>
      <c r="L209" s="3">
        <v>1242</v>
      </c>
    </row>
    <row r="210" spans="1:12" x14ac:dyDescent="0.25">
      <c r="A210" s="5" t="s">
        <v>246</v>
      </c>
      <c r="B210" s="5" t="s">
        <v>46</v>
      </c>
      <c r="C210" s="5" t="s">
        <v>37</v>
      </c>
      <c r="D210" s="6" t="s">
        <v>38</v>
      </c>
      <c r="E210" s="5" t="s">
        <v>127</v>
      </c>
      <c r="F210" s="5">
        <v>0</v>
      </c>
      <c r="G210" s="5">
        <v>0</v>
      </c>
      <c r="H210" s="5">
        <v>0</v>
      </c>
      <c r="I210" s="5">
        <v>1233</v>
      </c>
      <c r="J210" s="5">
        <v>-0.25</v>
      </c>
      <c r="K210" s="5">
        <v>0</v>
      </c>
      <c r="L210" s="3">
        <v>1232.75</v>
      </c>
    </row>
    <row r="211" spans="1:12" x14ac:dyDescent="0.25">
      <c r="A211" s="8" t="s">
        <v>340</v>
      </c>
      <c r="B211" s="5" t="s">
        <v>46</v>
      </c>
      <c r="C211" s="5" t="s">
        <v>37</v>
      </c>
      <c r="D211" s="6" t="e">
        <v>#N/A</v>
      </c>
      <c r="E211" s="5" t="s">
        <v>127</v>
      </c>
      <c r="F211" s="3">
        <v>388</v>
      </c>
      <c r="G211" s="3">
        <v>272.77999999999997</v>
      </c>
      <c r="H211" s="3">
        <v>0</v>
      </c>
      <c r="I211" s="3">
        <v>506.42</v>
      </c>
      <c r="J211" s="3">
        <v>0</v>
      </c>
      <c r="K211" s="3">
        <v>0</v>
      </c>
      <c r="L211" s="3">
        <v>1167.2</v>
      </c>
    </row>
    <row r="212" spans="1:12" x14ac:dyDescent="0.25">
      <c r="A212" s="8" t="s">
        <v>247</v>
      </c>
      <c r="B212" s="5" t="s">
        <v>46</v>
      </c>
      <c r="C212" s="5" t="s">
        <v>37</v>
      </c>
      <c r="D212" s="6" t="s">
        <v>38</v>
      </c>
      <c r="E212" s="5" t="s">
        <v>34</v>
      </c>
      <c r="F212" s="3">
        <v>0</v>
      </c>
      <c r="G212" s="3">
        <v>0</v>
      </c>
      <c r="H212" s="3">
        <v>0</v>
      </c>
      <c r="I212" s="3">
        <v>0</v>
      </c>
      <c r="J212" s="3">
        <v>1152.67</v>
      </c>
      <c r="K212" s="3">
        <v>0</v>
      </c>
      <c r="L212" s="3">
        <v>1152.67</v>
      </c>
    </row>
    <row r="213" spans="1:12" x14ac:dyDescent="0.25">
      <c r="A213" s="5" t="s">
        <v>249</v>
      </c>
      <c r="B213" s="5" t="s">
        <v>46</v>
      </c>
      <c r="C213" s="5" t="s">
        <v>37</v>
      </c>
      <c r="D213" s="6" t="s">
        <v>38</v>
      </c>
      <c r="E213" s="5" t="s">
        <v>51</v>
      </c>
      <c r="F213" s="5">
        <v>0</v>
      </c>
      <c r="G213" s="5">
        <v>0</v>
      </c>
      <c r="H213" s="5">
        <v>0</v>
      </c>
      <c r="I213" s="5">
        <v>0</v>
      </c>
      <c r="J213" s="5">
        <v>1017.43</v>
      </c>
      <c r="K213" s="5">
        <v>0</v>
      </c>
      <c r="L213" s="3">
        <v>1017.43</v>
      </c>
    </row>
    <row r="214" spans="1:12" x14ac:dyDescent="0.25">
      <c r="A214" s="8" t="s">
        <v>250</v>
      </c>
      <c r="B214" s="5" t="s">
        <v>17</v>
      </c>
      <c r="C214" s="5" t="s">
        <v>18</v>
      </c>
      <c r="D214" s="6" t="s">
        <v>31</v>
      </c>
      <c r="E214" s="5" t="s">
        <v>15</v>
      </c>
      <c r="F214" s="3">
        <v>0</v>
      </c>
      <c r="G214" s="3">
        <v>0</v>
      </c>
      <c r="H214" s="3">
        <v>0</v>
      </c>
      <c r="I214" s="3">
        <v>0</v>
      </c>
      <c r="J214" s="3">
        <v>1003.26</v>
      </c>
      <c r="K214" s="3">
        <v>0</v>
      </c>
      <c r="L214" s="3">
        <v>1003.26</v>
      </c>
    </row>
    <row r="215" spans="1:12" x14ac:dyDescent="0.25">
      <c r="A215" s="8" t="s">
        <v>352</v>
      </c>
      <c r="B215" s="5" t="s">
        <v>17</v>
      </c>
      <c r="C215" s="5" t="s">
        <v>37</v>
      </c>
      <c r="D215" s="6" t="e">
        <v>#N/A</v>
      </c>
      <c r="E215" s="5" t="s">
        <v>15</v>
      </c>
      <c r="F215" s="3">
        <v>975</v>
      </c>
      <c r="G215" s="3">
        <v>0</v>
      </c>
      <c r="H215" s="3">
        <v>3</v>
      </c>
      <c r="I215" s="3">
        <v>-2.5</v>
      </c>
      <c r="J215" s="3">
        <v>0</v>
      </c>
      <c r="K215" s="3">
        <v>0</v>
      </c>
      <c r="L215" s="3">
        <v>975.5</v>
      </c>
    </row>
    <row r="216" spans="1:12" x14ac:dyDescent="0.25">
      <c r="A216" s="8" t="s">
        <v>251</v>
      </c>
      <c r="B216" s="5" t="s">
        <v>46</v>
      </c>
      <c r="C216" s="5" t="s">
        <v>37</v>
      </c>
      <c r="D216" s="6" t="s">
        <v>38</v>
      </c>
      <c r="E216" s="5" t="s">
        <v>48</v>
      </c>
      <c r="F216" s="3">
        <v>0</v>
      </c>
      <c r="G216" s="3">
        <v>0.24</v>
      </c>
      <c r="H216" s="3">
        <v>0</v>
      </c>
      <c r="I216" s="3">
        <v>0</v>
      </c>
      <c r="J216" s="3">
        <v>871</v>
      </c>
      <c r="K216" s="3">
        <v>0</v>
      </c>
      <c r="L216" s="3">
        <v>871.24</v>
      </c>
    </row>
    <row r="217" spans="1:12" x14ac:dyDescent="0.25">
      <c r="A217" s="8" t="s">
        <v>252</v>
      </c>
      <c r="B217" s="5" t="s">
        <v>46</v>
      </c>
      <c r="C217" s="5" t="s">
        <v>37</v>
      </c>
      <c r="D217" s="6" t="s">
        <v>38</v>
      </c>
      <c r="E217" s="5" t="s">
        <v>127</v>
      </c>
      <c r="F217" s="3">
        <v>0</v>
      </c>
      <c r="G217" s="3">
        <v>0</v>
      </c>
      <c r="H217" s="3">
        <v>0</v>
      </c>
      <c r="I217" s="3">
        <v>0</v>
      </c>
      <c r="J217" s="3">
        <v>820</v>
      </c>
      <c r="K217" s="3">
        <v>0</v>
      </c>
      <c r="L217" s="3">
        <v>820</v>
      </c>
    </row>
    <row r="218" spans="1:12" x14ac:dyDescent="0.25">
      <c r="A218" s="8" t="s">
        <v>253</v>
      </c>
      <c r="B218" s="5" t="s">
        <v>46</v>
      </c>
      <c r="C218" s="5" t="s">
        <v>37</v>
      </c>
      <c r="D218" s="6" t="s">
        <v>38</v>
      </c>
      <c r="E218" s="5" t="s">
        <v>127</v>
      </c>
      <c r="F218" s="3">
        <v>0</v>
      </c>
      <c r="G218" s="3">
        <v>0</v>
      </c>
      <c r="H218" s="3">
        <v>652.76</v>
      </c>
      <c r="I218" s="3">
        <v>0</v>
      </c>
      <c r="J218" s="3">
        <v>0</v>
      </c>
      <c r="K218" s="3">
        <v>0</v>
      </c>
      <c r="L218" s="3">
        <v>652.76</v>
      </c>
    </row>
    <row r="219" spans="1:12" x14ac:dyDescent="0.25">
      <c r="A219" s="8" t="s">
        <v>254</v>
      </c>
      <c r="B219" s="5" t="s">
        <v>17</v>
      </c>
      <c r="C219" s="5" t="s">
        <v>37</v>
      </c>
      <c r="D219" s="6" t="s">
        <v>38</v>
      </c>
      <c r="E219" s="5" t="s">
        <v>15</v>
      </c>
      <c r="F219" s="3">
        <v>0</v>
      </c>
      <c r="G219" s="3">
        <v>0</v>
      </c>
      <c r="H219" s="3">
        <v>0</v>
      </c>
      <c r="I219" s="3">
        <v>0</v>
      </c>
      <c r="J219" s="3">
        <v>635</v>
      </c>
      <c r="K219" s="3">
        <v>0</v>
      </c>
      <c r="L219" s="3">
        <v>635</v>
      </c>
    </row>
    <row r="220" spans="1:12" x14ac:dyDescent="0.25">
      <c r="A220" s="8" t="s">
        <v>255</v>
      </c>
      <c r="B220" s="5" t="s">
        <v>46</v>
      </c>
      <c r="C220" s="5" t="s">
        <v>37</v>
      </c>
      <c r="D220" s="6" t="s">
        <v>38</v>
      </c>
      <c r="E220" s="5" t="s">
        <v>127</v>
      </c>
      <c r="F220" s="3">
        <v>0</v>
      </c>
      <c r="G220" s="3">
        <v>0</v>
      </c>
      <c r="H220" s="3">
        <v>0</v>
      </c>
      <c r="I220" s="3">
        <v>0</v>
      </c>
      <c r="J220" s="3">
        <v>622.5</v>
      </c>
      <c r="K220" s="3">
        <v>0</v>
      </c>
      <c r="L220" s="3">
        <v>622.5</v>
      </c>
    </row>
    <row r="221" spans="1:12" x14ac:dyDescent="0.25">
      <c r="A221" s="5" t="s">
        <v>186</v>
      </c>
      <c r="B221" s="5" t="s">
        <v>46</v>
      </c>
      <c r="C221" s="5" t="s">
        <v>37</v>
      </c>
      <c r="D221" s="6" t="s">
        <v>38</v>
      </c>
      <c r="E221" s="5" t="s">
        <v>127</v>
      </c>
      <c r="F221" s="5">
        <v>4020</v>
      </c>
      <c r="G221" s="5">
        <v>-4020</v>
      </c>
      <c r="H221" s="5">
        <v>504.5</v>
      </c>
      <c r="I221" s="5">
        <v>0</v>
      </c>
      <c r="J221" s="5">
        <v>0</v>
      </c>
      <c r="K221" s="5">
        <v>0</v>
      </c>
      <c r="L221" s="3">
        <v>504.5</v>
      </c>
    </row>
    <row r="222" spans="1:12" x14ac:dyDescent="0.25">
      <c r="A222" s="8" t="s">
        <v>202</v>
      </c>
      <c r="B222" s="5" t="s">
        <v>46</v>
      </c>
      <c r="C222" s="5" t="s">
        <v>37</v>
      </c>
      <c r="D222" s="6" t="e">
        <v>#N/A</v>
      </c>
      <c r="E222" s="5" t="s">
        <v>127</v>
      </c>
      <c r="F222" s="3">
        <v>0</v>
      </c>
      <c r="G222" s="3">
        <v>498.34</v>
      </c>
      <c r="H222" s="3">
        <v>0</v>
      </c>
      <c r="I222" s="3">
        <v>0</v>
      </c>
      <c r="J222" s="3">
        <v>0</v>
      </c>
      <c r="K222" s="3">
        <v>0</v>
      </c>
      <c r="L222" s="3">
        <v>498.34</v>
      </c>
    </row>
    <row r="223" spans="1:12" x14ac:dyDescent="0.25">
      <c r="A223" s="8" t="s">
        <v>328</v>
      </c>
      <c r="B223" s="5" t="s">
        <v>46</v>
      </c>
      <c r="C223" s="5" t="s">
        <v>37</v>
      </c>
      <c r="D223" s="6" t="s">
        <v>38</v>
      </c>
      <c r="E223" s="5" t="s">
        <v>34</v>
      </c>
      <c r="F223" s="3">
        <v>427.27</v>
      </c>
      <c r="G223" s="3">
        <v>35.25</v>
      </c>
      <c r="H223" s="3">
        <v>0</v>
      </c>
      <c r="I223" s="3">
        <v>0</v>
      </c>
      <c r="J223" s="3">
        <v>0</v>
      </c>
      <c r="K223" s="3">
        <v>0</v>
      </c>
      <c r="L223" s="3">
        <v>462.52</v>
      </c>
    </row>
    <row r="224" spans="1:12" x14ac:dyDescent="0.25">
      <c r="A224" s="5" t="s">
        <v>258</v>
      </c>
      <c r="B224" s="5" t="s">
        <v>17</v>
      </c>
      <c r="C224" s="5" t="s">
        <v>14</v>
      </c>
      <c r="D224" s="6">
        <v>0</v>
      </c>
      <c r="E224" s="5" t="s">
        <v>41</v>
      </c>
      <c r="F224" s="5">
        <v>0</v>
      </c>
      <c r="G224" s="5">
        <v>0</v>
      </c>
      <c r="H224" s="5">
        <v>0</v>
      </c>
      <c r="I224" s="5">
        <v>0</v>
      </c>
      <c r="J224" s="5">
        <v>454</v>
      </c>
      <c r="K224" s="5">
        <v>0</v>
      </c>
      <c r="L224" s="3">
        <v>454</v>
      </c>
    </row>
    <row r="225" spans="1:12" x14ac:dyDescent="0.25">
      <c r="A225" s="8" t="s">
        <v>260</v>
      </c>
      <c r="B225" s="5" t="s">
        <v>46</v>
      </c>
      <c r="C225" s="5" t="s">
        <v>37</v>
      </c>
      <c r="D225" s="6" t="s">
        <v>38</v>
      </c>
      <c r="E225" s="5" t="s">
        <v>51</v>
      </c>
      <c r="F225" s="3">
        <v>0</v>
      </c>
      <c r="G225" s="3">
        <v>435</v>
      </c>
      <c r="H225" s="3">
        <v>0</v>
      </c>
      <c r="I225" s="3">
        <v>0</v>
      </c>
      <c r="J225" s="3">
        <v>0</v>
      </c>
      <c r="K225" s="3">
        <v>0</v>
      </c>
      <c r="L225" s="3">
        <v>435</v>
      </c>
    </row>
    <row r="226" spans="1:12" x14ac:dyDescent="0.25">
      <c r="A226" s="8" t="s">
        <v>261</v>
      </c>
      <c r="B226" s="5" t="s">
        <v>46</v>
      </c>
      <c r="C226" s="5" t="s">
        <v>37</v>
      </c>
      <c r="D226" s="6" t="s">
        <v>38</v>
      </c>
      <c r="E226" s="5" t="s">
        <v>34</v>
      </c>
      <c r="F226" s="3">
        <v>0</v>
      </c>
      <c r="G226" s="3">
        <v>0</v>
      </c>
      <c r="H226" s="3">
        <v>435</v>
      </c>
      <c r="I226" s="3">
        <v>0</v>
      </c>
      <c r="J226" s="3">
        <v>0</v>
      </c>
      <c r="K226" s="3">
        <v>0</v>
      </c>
      <c r="L226" s="3">
        <v>435</v>
      </c>
    </row>
    <row r="227" spans="1:12" x14ac:dyDescent="0.25">
      <c r="A227" s="5" t="s">
        <v>262</v>
      </c>
      <c r="B227" s="5" t="s">
        <v>46</v>
      </c>
      <c r="C227" s="5" t="s">
        <v>37</v>
      </c>
      <c r="D227" s="6" t="s">
        <v>38</v>
      </c>
      <c r="E227" s="5" t="s">
        <v>127</v>
      </c>
      <c r="F227" s="5">
        <v>0</v>
      </c>
      <c r="G227" s="5">
        <v>0</v>
      </c>
      <c r="H227" s="5">
        <v>0</v>
      </c>
      <c r="I227" s="5">
        <v>0</v>
      </c>
      <c r="J227" s="5">
        <v>365</v>
      </c>
      <c r="K227" s="5">
        <v>0</v>
      </c>
      <c r="L227" s="3">
        <v>365</v>
      </c>
    </row>
    <row r="228" spans="1:12" x14ac:dyDescent="0.25">
      <c r="A228" s="8" t="s">
        <v>312</v>
      </c>
      <c r="B228" s="5" t="s">
        <v>46</v>
      </c>
      <c r="C228" s="5" t="s">
        <v>37</v>
      </c>
      <c r="D228" s="6" t="s">
        <v>38</v>
      </c>
      <c r="E228" s="5" t="s">
        <v>127</v>
      </c>
      <c r="F228" s="3">
        <v>0</v>
      </c>
      <c r="G228" s="3">
        <v>368</v>
      </c>
      <c r="H228" s="3">
        <v>-20</v>
      </c>
      <c r="I228" s="3">
        <v>0</v>
      </c>
      <c r="J228" s="3">
        <v>0</v>
      </c>
      <c r="K228" s="3">
        <v>0</v>
      </c>
      <c r="L228" s="3">
        <v>348</v>
      </c>
    </row>
    <row r="229" spans="1:12" x14ac:dyDescent="0.25">
      <c r="A229" s="8" t="s">
        <v>263</v>
      </c>
      <c r="B229" s="5" t="s">
        <v>46</v>
      </c>
      <c r="C229" s="5" t="s">
        <v>37</v>
      </c>
      <c r="D229" s="6" t="s">
        <v>38</v>
      </c>
      <c r="E229" s="5" t="s">
        <v>34</v>
      </c>
      <c r="F229" s="3">
        <v>0</v>
      </c>
      <c r="G229" s="3">
        <v>325.36</v>
      </c>
      <c r="H229" s="3">
        <v>0</v>
      </c>
      <c r="I229" s="3">
        <v>0</v>
      </c>
      <c r="J229" s="3">
        <v>0</v>
      </c>
      <c r="K229" s="3">
        <v>0</v>
      </c>
      <c r="L229" s="3">
        <v>325.36</v>
      </c>
    </row>
    <row r="230" spans="1:12" x14ac:dyDescent="0.25">
      <c r="A230" s="5" t="s">
        <v>264</v>
      </c>
      <c r="B230" s="5" t="s">
        <v>46</v>
      </c>
      <c r="C230" s="5" t="s">
        <v>37</v>
      </c>
      <c r="D230" s="6" t="s">
        <v>38</v>
      </c>
      <c r="E230" s="5" t="s">
        <v>48</v>
      </c>
      <c r="F230" s="5">
        <v>0</v>
      </c>
      <c r="G230" s="5">
        <v>-5.72</v>
      </c>
      <c r="H230" s="5">
        <v>296.72000000000003</v>
      </c>
      <c r="I230" s="5">
        <v>0</v>
      </c>
      <c r="J230" s="5">
        <v>0</v>
      </c>
      <c r="K230" s="5">
        <v>0</v>
      </c>
      <c r="L230" s="3">
        <v>291</v>
      </c>
    </row>
    <row r="231" spans="1:12" x14ac:dyDescent="0.25">
      <c r="A231" s="8" t="s">
        <v>360</v>
      </c>
      <c r="B231" s="5" t="s">
        <v>46</v>
      </c>
      <c r="C231" s="5" t="s">
        <v>37</v>
      </c>
      <c r="D231" s="6" t="e">
        <v>#N/A</v>
      </c>
      <c r="E231" s="5" t="s">
        <v>127</v>
      </c>
      <c r="F231" s="3">
        <v>0</v>
      </c>
      <c r="G231" s="3">
        <v>233.24</v>
      </c>
      <c r="H231" s="3">
        <v>0</v>
      </c>
      <c r="I231" s="3">
        <v>0</v>
      </c>
      <c r="J231" s="3">
        <v>0</v>
      </c>
      <c r="K231" s="3">
        <v>0</v>
      </c>
      <c r="L231" s="3">
        <v>233.24</v>
      </c>
    </row>
    <row r="232" spans="1:12" x14ac:dyDescent="0.25">
      <c r="A232" s="5" t="s">
        <v>346</v>
      </c>
      <c r="B232" s="5" t="s">
        <v>46</v>
      </c>
      <c r="C232" s="5" t="s">
        <v>37</v>
      </c>
      <c r="D232" s="6" t="e">
        <v>#N/A</v>
      </c>
      <c r="E232" s="5" t="s">
        <v>127</v>
      </c>
      <c r="F232" s="5">
        <v>0</v>
      </c>
      <c r="G232" s="5">
        <v>200.02</v>
      </c>
      <c r="H232" s="5">
        <v>0</v>
      </c>
      <c r="I232" s="5">
        <v>0</v>
      </c>
      <c r="J232" s="5">
        <v>0</v>
      </c>
      <c r="K232" s="5">
        <v>0</v>
      </c>
      <c r="L232" s="3">
        <v>200.02</v>
      </c>
    </row>
    <row r="233" spans="1:12" x14ac:dyDescent="0.25">
      <c r="A233" s="8" t="s">
        <v>363</v>
      </c>
      <c r="B233" s="5" t="s">
        <v>46</v>
      </c>
      <c r="C233" s="5" t="s">
        <v>37</v>
      </c>
      <c r="D233" s="6" t="e">
        <v>#N/A</v>
      </c>
      <c r="E233" s="5" t="s">
        <v>142</v>
      </c>
      <c r="F233" s="3">
        <v>0</v>
      </c>
      <c r="G233" s="3">
        <v>180.5</v>
      </c>
      <c r="H233" s="3">
        <v>0</v>
      </c>
      <c r="I233" s="3">
        <v>0</v>
      </c>
      <c r="J233" s="3">
        <v>0</v>
      </c>
      <c r="K233" s="3">
        <v>0</v>
      </c>
      <c r="L233" s="3">
        <v>180.5</v>
      </c>
    </row>
    <row r="234" spans="1:12" x14ac:dyDescent="0.25">
      <c r="A234" s="8" t="s">
        <v>273</v>
      </c>
      <c r="B234" s="5" t="s">
        <v>46</v>
      </c>
      <c r="C234" s="5" t="s">
        <v>37</v>
      </c>
      <c r="D234" s="6" t="s">
        <v>38</v>
      </c>
      <c r="E234" s="5" t="s">
        <v>34</v>
      </c>
      <c r="F234" s="3">
        <v>0</v>
      </c>
      <c r="G234" s="3">
        <v>-1500.44</v>
      </c>
      <c r="H234" s="3">
        <v>1066.03</v>
      </c>
      <c r="I234" s="3">
        <v>0</v>
      </c>
      <c r="J234" s="3">
        <v>0</v>
      </c>
      <c r="K234" s="3">
        <v>0</v>
      </c>
      <c r="L234" s="3">
        <v>-434.41000000000008</v>
      </c>
    </row>
    <row r="235" spans="1:12" x14ac:dyDescent="0.25">
      <c r="A235" s="8" t="s">
        <v>274</v>
      </c>
      <c r="B235" s="5" t="s">
        <v>46</v>
      </c>
      <c r="C235" s="5" t="s">
        <v>37</v>
      </c>
      <c r="D235" s="6" t="s">
        <v>38</v>
      </c>
      <c r="E235" s="5" t="s">
        <v>34</v>
      </c>
      <c r="F235" s="3">
        <v>0</v>
      </c>
      <c r="G235" s="3">
        <v>0</v>
      </c>
      <c r="H235" s="3">
        <v>-489.76</v>
      </c>
      <c r="I235" s="3">
        <v>0</v>
      </c>
      <c r="J235" s="3">
        <v>0</v>
      </c>
      <c r="K235" s="3">
        <v>0</v>
      </c>
      <c r="L235" s="3">
        <v>-489.76</v>
      </c>
    </row>
    <row r="236" spans="1:12" x14ac:dyDescent="0.25">
      <c r="A236" s="8" t="s">
        <v>275</v>
      </c>
      <c r="B236" s="5" t="s">
        <v>46</v>
      </c>
      <c r="C236" s="5" t="s">
        <v>37</v>
      </c>
      <c r="D236" s="6" t="s">
        <v>38</v>
      </c>
      <c r="E236" s="5" t="s">
        <v>79</v>
      </c>
      <c r="F236" s="3">
        <v>0</v>
      </c>
      <c r="G236" s="3">
        <v>286.57</v>
      </c>
      <c r="H236" s="3">
        <v>0</v>
      </c>
      <c r="I236" s="3">
        <v>0</v>
      </c>
      <c r="J236" s="3">
        <v>-803.57</v>
      </c>
      <c r="K236" s="3">
        <v>0</v>
      </c>
      <c r="L236" s="3">
        <v>-517</v>
      </c>
    </row>
    <row r="237" spans="1:12" x14ac:dyDescent="0.25">
      <c r="A237" s="8" t="s">
        <v>285</v>
      </c>
      <c r="B237" s="5" t="s">
        <v>46</v>
      </c>
      <c r="C237" s="5" t="s">
        <v>37</v>
      </c>
      <c r="D237" s="6" t="s">
        <v>38</v>
      </c>
      <c r="E237" s="5" t="s">
        <v>48</v>
      </c>
      <c r="F237" s="3">
        <v>0</v>
      </c>
      <c r="G237" s="3">
        <v>0</v>
      </c>
      <c r="H237" s="3">
        <v>0</v>
      </c>
      <c r="I237" s="3">
        <v>0</v>
      </c>
      <c r="J237" s="3">
        <v>-533.5</v>
      </c>
      <c r="K237" s="3">
        <v>0</v>
      </c>
      <c r="L237" s="3">
        <v>-533.5</v>
      </c>
    </row>
    <row r="238" spans="1:12" x14ac:dyDescent="0.25">
      <c r="A238" s="8" t="s">
        <v>337</v>
      </c>
      <c r="B238" s="5" t="s">
        <v>46</v>
      </c>
      <c r="C238" s="5" t="s">
        <v>37</v>
      </c>
      <c r="D238" s="6" t="e">
        <v>#N/A</v>
      </c>
      <c r="E238" s="5" t="s">
        <v>127</v>
      </c>
      <c r="F238" s="3">
        <v>0</v>
      </c>
      <c r="G238" s="3">
        <v>-630</v>
      </c>
      <c r="H238" s="3">
        <v>0</v>
      </c>
      <c r="I238" s="3">
        <v>0</v>
      </c>
      <c r="J238" s="3">
        <v>0</v>
      </c>
      <c r="K238" s="3">
        <v>0</v>
      </c>
      <c r="L238" s="3">
        <v>-630</v>
      </c>
    </row>
    <row r="239" spans="1:12" x14ac:dyDescent="0.25">
      <c r="A239" s="8" t="s">
        <v>277</v>
      </c>
      <c r="B239" s="5" t="s">
        <v>17</v>
      </c>
      <c r="C239" s="5" t="s">
        <v>14</v>
      </c>
      <c r="D239" s="6">
        <v>0</v>
      </c>
      <c r="E239" s="5" t="s">
        <v>15</v>
      </c>
      <c r="F239" s="3">
        <v>0</v>
      </c>
      <c r="G239" s="3">
        <v>0</v>
      </c>
      <c r="H239" s="3">
        <v>0</v>
      </c>
      <c r="I239" s="3">
        <v>0</v>
      </c>
      <c r="J239" s="3">
        <v>-647.66999999999996</v>
      </c>
      <c r="K239" s="3">
        <v>0</v>
      </c>
      <c r="L239" s="3">
        <v>-647.66999999999996</v>
      </c>
    </row>
    <row r="240" spans="1:12" x14ac:dyDescent="0.25">
      <c r="A240" s="8" t="s">
        <v>259</v>
      </c>
      <c r="B240" s="5" t="s">
        <v>46</v>
      </c>
      <c r="C240" s="5" t="s">
        <v>37</v>
      </c>
      <c r="D240" s="6" t="e">
        <v>#N/A</v>
      </c>
      <c r="E240" s="5" t="s">
        <v>34</v>
      </c>
      <c r="F240" s="3">
        <v>0</v>
      </c>
      <c r="G240" s="3">
        <v>-1305</v>
      </c>
      <c r="H240" s="3">
        <v>450</v>
      </c>
      <c r="I240" s="3">
        <v>0</v>
      </c>
      <c r="J240" s="3">
        <v>0</v>
      </c>
      <c r="K240" s="3">
        <v>0</v>
      </c>
      <c r="L240" s="3">
        <v>-855</v>
      </c>
    </row>
    <row r="241" spans="1:12" x14ac:dyDescent="0.25">
      <c r="A241" s="8" t="s">
        <v>279</v>
      </c>
      <c r="B241" s="5" t="s">
        <v>46</v>
      </c>
      <c r="C241" s="5" t="s">
        <v>37</v>
      </c>
      <c r="D241" s="6" t="s">
        <v>38</v>
      </c>
      <c r="E241" s="5" t="s">
        <v>79</v>
      </c>
      <c r="F241" s="3">
        <v>0</v>
      </c>
      <c r="G241" s="3">
        <v>0</v>
      </c>
      <c r="H241" s="3">
        <v>-875</v>
      </c>
      <c r="I241" s="3">
        <v>0</v>
      </c>
      <c r="J241" s="3">
        <v>0</v>
      </c>
      <c r="K241" s="3">
        <v>0</v>
      </c>
      <c r="L241" s="3">
        <v>-875</v>
      </c>
    </row>
    <row r="242" spans="1:12" x14ac:dyDescent="0.25">
      <c r="A242" s="8" t="s">
        <v>280</v>
      </c>
      <c r="B242" s="5" t="s">
        <v>46</v>
      </c>
      <c r="C242" s="5" t="s">
        <v>37</v>
      </c>
      <c r="D242" s="6" t="s">
        <v>38</v>
      </c>
      <c r="E242" s="5" t="s">
        <v>181</v>
      </c>
      <c r="F242" s="3">
        <v>0</v>
      </c>
      <c r="G242" s="3">
        <v>0</v>
      </c>
      <c r="H242" s="3">
        <v>0</v>
      </c>
      <c r="I242" s="3">
        <v>0</v>
      </c>
      <c r="J242" s="3">
        <v>-966.1</v>
      </c>
      <c r="K242" s="3">
        <v>0</v>
      </c>
      <c r="L242" s="3">
        <v>-966.1</v>
      </c>
    </row>
    <row r="243" spans="1:12" x14ac:dyDescent="0.25">
      <c r="A243" s="8" t="s">
        <v>281</v>
      </c>
      <c r="B243" s="5" t="s">
        <v>46</v>
      </c>
      <c r="C243" s="5" t="s">
        <v>37</v>
      </c>
      <c r="D243" s="6" t="s">
        <v>38</v>
      </c>
      <c r="E243" s="5" t="s">
        <v>79</v>
      </c>
      <c r="F243" s="3">
        <v>0</v>
      </c>
      <c r="G243" s="3">
        <v>0</v>
      </c>
      <c r="H243" s="3">
        <v>0</v>
      </c>
      <c r="I243" s="3">
        <v>0</v>
      </c>
      <c r="J243" s="3">
        <v>-1009.98</v>
      </c>
      <c r="K243" s="3">
        <v>0</v>
      </c>
      <c r="L243" s="3">
        <v>-1009.98</v>
      </c>
    </row>
    <row r="244" spans="1:12" x14ac:dyDescent="0.25">
      <c r="A244" s="8" t="s">
        <v>282</v>
      </c>
      <c r="B244" s="5" t="s">
        <v>46</v>
      </c>
      <c r="C244" s="5" t="s">
        <v>37</v>
      </c>
      <c r="D244" s="6" t="s">
        <v>38</v>
      </c>
      <c r="E244" s="5" t="s">
        <v>48</v>
      </c>
      <c r="F244" s="3">
        <v>0</v>
      </c>
      <c r="G244" s="3">
        <v>0</v>
      </c>
      <c r="H244" s="3">
        <v>-340</v>
      </c>
      <c r="I244" s="3">
        <v>-1000</v>
      </c>
      <c r="J244" s="3">
        <v>0</v>
      </c>
      <c r="K244" s="3">
        <v>0</v>
      </c>
      <c r="L244" s="3">
        <v>-1340</v>
      </c>
    </row>
    <row r="245" spans="1:12" x14ac:dyDescent="0.25">
      <c r="A245" s="8" t="s">
        <v>283</v>
      </c>
      <c r="B245" s="5" t="s">
        <v>46</v>
      </c>
      <c r="C245" s="5" t="s">
        <v>37</v>
      </c>
      <c r="D245" s="6" t="s">
        <v>38</v>
      </c>
      <c r="E245" s="5" t="s">
        <v>79</v>
      </c>
      <c r="F245" s="3">
        <v>0</v>
      </c>
      <c r="G245" s="3">
        <v>0</v>
      </c>
      <c r="H245" s="3">
        <v>0</v>
      </c>
      <c r="I245" s="3">
        <v>0</v>
      </c>
      <c r="J245" s="3">
        <v>-1421.62</v>
      </c>
      <c r="K245" s="3">
        <v>0</v>
      </c>
      <c r="L245" s="3">
        <v>-1421.62</v>
      </c>
    </row>
    <row r="246" spans="1:12" x14ac:dyDescent="0.25">
      <c r="A246" s="8" t="s">
        <v>284</v>
      </c>
      <c r="B246" s="5" t="s">
        <v>46</v>
      </c>
      <c r="C246" s="5" t="s">
        <v>37</v>
      </c>
      <c r="D246" s="6" t="s">
        <v>38</v>
      </c>
      <c r="E246" s="5" t="s">
        <v>127</v>
      </c>
      <c r="F246" s="3">
        <v>0</v>
      </c>
      <c r="G246" s="3">
        <v>0</v>
      </c>
      <c r="H246" s="3">
        <v>0</v>
      </c>
      <c r="I246" s="3">
        <v>-1450</v>
      </c>
      <c r="J246" s="3">
        <v>0</v>
      </c>
      <c r="K246" s="3">
        <v>0</v>
      </c>
      <c r="L246" s="3">
        <v>-1450</v>
      </c>
    </row>
    <row r="247" spans="1:12" x14ac:dyDescent="0.25">
      <c r="A247" s="8" t="s">
        <v>286</v>
      </c>
      <c r="B247" s="5" t="s">
        <v>46</v>
      </c>
      <c r="C247" s="5" t="s">
        <v>37</v>
      </c>
      <c r="D247" s="6" t="s">
        <v>38</v>
      </c>
      <c r="E247" s="5" t="s">
        <v>51</v>
      </c>
      <c r="F247" s="3">
        <v>-1509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-1509</v>
      </c>
    </row>
    <row r="248" spans="1:12" x14ac:dyDescent="0.25">
      <c r="A248" s="8" t="s">
        <v>287</v>
      </c>
      <c r="B248" s="5" t="s">
        <v>46</v>
      </c>
      <c r="C248" s="5" t="s">
        <v>37</v>
      </c>
      <c r="D248" s="6" t="s">
        <v>38</v>
      </c>
      <c r="E248" s="5" t="s">
        <v>34</v>
      </c>
      <c r="F248" s="3">
        <v>0</v>
      </c>
      <c r="G248" s="3">
        <v>-1600</v>
      </c>
      <c r="H248" s="3">
        <v>0</v>
      </c>
      <c r="I248" s="3">
        <v>0</v>
      </c>
      <c r="J248" s="3">
        <v>0</v>
      </c>
      <c r="K248" s="3">
        <v>0</v>
      </c>
      <c r="L248" s="3">
        <v>-1600</v>
      </c>
    </row>
    <row r="249" spans="1:12" x14ac:dyDescent="0.25">
      <c r="A249" s="8" t="s">
        <v>331</v>
      </c>
      <c r="B249" s="5" t="s">
        <v>46</v>
      </c>
      <c r="C249" s="5" t="s">
        <v>37</v>
      </c>
      <c r="D249" s="6" t="e">
        <v>#N/A</v>
      </c>
      <c r="E249" s="5" t="s">
        <v>51</v>
      </c>
      <c r="F249" s="3">
        <v>0</v>
      </c>
      <c r="G249" s="3">
        <v>-1700.4</v>
      </c>
      <c r="H249" s="3">
        <v>0</v>
      </c>
      <c r="I249" s="3">
        <v>0</v>
      </c>
      <c r="J249" s="3">
        <v>0</v>
      </c>
      <c r="K249" s="3">
        <v>0</v>
      </c>
      <c r="L249" s="3">
        <v>-1700.4</v>
      </c>
    </row>
    <row r="250" spans="1:12" x14ac:dyDescent="0.25">
      <c r="A250" s="8" t="s">
        <v>289</v>
      </c>
      <c r="B250" s="5" t="e">
        <v>#N/A</v>
      </c>
      <c r="C250" s="5" t="e">
        <v>#N/A</v>
      </c>
      <c r="D250" s="6" t="s">
        <v>38</v>
      </c>
      <c r="E250" s="5" t="e">
        <v>#N/A</v>
      </c>
      <c r="F250" s="3">
        <v>0</v>
      </c>
      <c r="G250" s="3">
        <v>-1777.5</v>
      </c>
      <c r="H250" s="3">
        <v>0</v>
      </c>
      <c r="I250" s="3">
        <v>0</v>
      </c>
      <c r="J250" s="3">
        <v>0</v>
      </c>
      <c r="K250" s="3">
        <v>0</v>
      </c>
      <c r="L250" s="3">
        <v>-1777.5</v>
      </c>
    </row>
    <row r="251" spans="1:12" x14ac:dyDescent="0.25">
      <c r="A251" s="8" t="s">
        <v>192</v>
      </c>
      <c r="B251" s="5" t="s">
        <v>46</v>
      </c>
      <c r="C251" s="5" t="s">
        <v>37</v>
      </c>
      <c r="D251" s="6" t="s">
        <v>38</v>
      </c>
      <c r="E251" s="5" t="s">
        <v>51</v>
      </c>
      <c r="F251" s="3">
        <v>0</v>
      </c>
      <c r="G251" s="3">
        <v>-1911.12</v>
      </c>
      <c r="H251" s="3">
        <v>0</v>
      </c>
      <c r="I251" s="3">
        <v>0</v>
      </c>
      <c r="J251" s="3">
        <v>0</v>
      </c>
      <c r="K251" s="3">
        <v>0</v>
      </c>
      <c r="L251" s="3">
        <v>-1911.12</v>
      </c>
    </row>
    <row r="252" spans="1:12" x14ac:dyDescent="0.25">
      <c r="A252" s="8" t="s">
        <v>362</v>
      </c>
      <c r="B252" s="5" t="s">
        <v>46</v>
      </c>
      <c r="C252" s="5" t="s">
        <v>37</v>
      </c>
      <c r="D252" s="6" t="e">
        <v>#N/A</v>
      </c>
      <c r="E252" s="5" t="s">
        <v>127</v>
      </c>
      <c r="F252" s="3">
        <v>0</v>
      </c>
      <c r="G252" s="3">
        <v>-2056</v>
      </c>
      <c r="H252" s="3">
        <v>3</v>
      </c>
      <c r="I252" s="3">
        <v>0</v>
      </c>
      <c r="J252" s="3">
        <v>0</v>
      </c>
      <c r="K252" s="3">
        <v>0</v>
      </c>
      <c r="L252" s="3">
        <v>-2053</v>
      </c>
    </row>
    <row r="253" spans="1:12" x14ac:dyDescent="0.25">
      <c r="A253" s="8" t="s">
        <v>291</v>
      </c>
      <c r="B253" s="5" t="s">
        <v>46</v>
      </c>
      <c r="C253" s="5" t="s">
        <v>37</v>
      </c>
      <c r="D253" s="6" t="s">
        <v>38</v>
      </c>
      <c r="E253" s="5" t="s">
        <v>79</v>
      </c>
      <c r="F253" s="3">
        <v>0</v>
      </c>
      <c r="G253" s="3">
        <v>0</v>
      </c>
      <c r="H253" s="3">
        <v>0</v>
      </c>
      <c r="I253" s="3">
        <v>0</v>
      </c>
      <c r="J253" s="3">
        <v>-2574.9899999999998</v>
      </c>
      <c r="K253" s="3">
        <v>0</v>
      </c>
      <c r="L253" s="3">
        <v>-2574.9899999999998</v>
      </c>
    </row>
    <row r="254" spans="1:12" x14ac:dyDescent="0.25">
      <c r="A254" s="8" t="s">
        <v>300</v>
      </c>
      <c r="B254" s="5" t="s">
        <v>46</v>
      </c>
      <c r="C254" s="5" t="s">
        <v>37</v>
      </c>
      <c r="D254" s="6" t="s">
        <v>38</v>
      </c>
      <c r="E254" s="5" t="s">
        <v>34</v>
      </c>
      <c r="F254" s="3">
        <v>0</v>
      </c>
      <c r="G254" s="3">
        <v>17991.39</v>
      </c>
      <c r="H254" s="3">
        <v>-20677</v>
      </c>
      <c r="I254" s="3">
        <v>0</v>
      </c>
      <c r="J254" s="3">
        <v>0</v>
      </c>
      <c r="K254" s="3">
        <v>0</v>
      </c>
      <c r="L254" s="3">
        <v>-2685.610000000001</v>
      </c>
    </row>
    <row r="255" spans="1:12" x14ac:dyDescent="0.25">
      <c r="A255" s="8" t="s">
        <v>294</v>
      </c>
      <c r="B255" s="5" t="s">
        <v>46</v>
      </c>
      <c r="C255" s="5" t="s">
        <v>37</v>
      </c>
      <c r="D255" s="6" t="s">
        <v>38</v>
      </c>
      <c r="E255" s="5" t="s">
        <v>34</v>
      </c>
      <c r="F255" s="3">
        <v>0</v>
      </c>
      <c r="G255" s="3">
        <v>0</v>
      </c>
      <c r="H255" s="3">
        <v>30.62</v>
      </c>
      <c r="I255" s="3">
        <v>0</v>
      </c>
      <c r="J255" s="3">
        <v>-3324</v>
      </c>
      <c r="K255" s="3">
        <v>0</v>
      </c>
      <c r="L255" s="3">
        <v>-3293.38</v>
      </c>
    </row>
    <row r="256" spans="1:12" x14ac:dyDescent="0.25">
      <c r="A256" s="8" t="s">
        <v>295</v>
      </c>
      <c r="B256" s="5" t="s">
        <v>46</v>
      </c>
      <c r="C256" s="5" t="s">
        <v>37</v>
      </c>
      <c r="D256" s="6" t="s">
        <v>38</v>
      </c>
      <c r="E256" s="5" t="s">
        <v>51</v>
      </c>
      <c r="F256" s="3">
        <v>0</v>
      </c>
      <c r="G256" s="3">
        <v>-4590</v>
      </c>
      <c r="H256" s="3">
        <v>-2081</v>
      </c>
      <c r="I256" s="3">
        <v>0</v>
      </c>
      <c r="J256" s="3">
        <v>2492.4299999999998</v>
      </c>
      <c r="K256" s="3">
        <v>0</v>
      </c>
      <c r="L256" s="3">
        <v>-4178.57</v>
      </c>
    </row>
    <row r="257" spans="1:12" x14ac:dyDescent="0.25">
      <c r="A257" s="8" t="s">
        <v>296</v>
      </c>
      <c r="B257" s="5" t="s">
        <v>46</v>
      </c>
      <c r="C257" s="5" t="s">
        <v>37</v>
      </c>
      <c r="D257" s="6" t="s">
        <v>38</v>
      </c>
      <c r="E257" s="5" t="s">
        <v>51</v>
      </c>
      <c r="F257" s="3">
        <v>0</v>
      </c>
      <c r="G257" s="3">
        <v>0</v>
      </c>
      <c r="H257" s="3">
        <v>0</v>
      </c>
      <c r="I257" s="3">
        <v>0</v>
      </c>
      <c r="J257" s="3">
        <v>-4410</v>
      </c>
      <c r="K257" s="3">
        <v>0</v>
      </c>
      <c r="L257" s="3">
        <v>-4410</v>
      </c>
    </row>
    <row r="258" spans="1:12" x14ac:dyDescent="0.25">
      <c r="A258" s="8" t="s">
        <v>297</v>
      </c>
      <c r="B258" s="5" t="s">
        <v>46</v>
      </c>
      <c r="C258" s="5" t="s">
        <v>37</v>
      </c>
      <c r="D258" s="6" t="s">
        <v>38</v>
      </c>
      <c r="E258" s="5" t="s">
        <v>127</v>
      </c>
      <c r="F258" s="3">
        <v>0</v>
      </c>
      <c r="G258" s="3">
        <v>0</v>
      </c>
      <c r="H258" s="3">
        <v>-209.5</v>
      </c>
      <c r="I258" s="3">
        <v>0</v>
      </c>
      <c r="J258" s="3">
        <v>-4339.2</v>
      </c>
      <c r="K258" s="3">
        <v>0</v>
      </c>
      <c r="L258" s="3">
        <v>-4548.7</v>
      </c>
    </row>
    <row r="259" spans="1:12" x14ac:dyDescent="0.25">
      <c r="A259" s="8" t="s">
        <v>316</v>
      </c>
      <c r="B259" s="5" t="e">
        <v>#N/A</v>
      </c>
      <c r="C259" s="5" t="e">
        <v>#N/A</v>
      </c>
      <c r="D259" s="6" t="s">
        <v>38</v>
      </c>
      <c r="E259" s="5" t="e">
        <v>#N/A</v>
      </c>
      <c r="F259" s="3">
        <v>0</v>
      </c>
      <c r="G259" s="3">
        <v>-5090</v>
      </c>
      <c r="H259" s="3">
        <v>0</v>
      </c>
      <c r="I259" s="3">
        <v>0</v>
      </c>
      <c r="J259" s="3">
        <v>0</v>
      </c>
      <c r="K259" s="3">
        <v>0</v>
      </c>
      <c r="L259" s="3">
        <v>-5090</v>
      </c>
    </row>
    <row r="260" spans="1:12" x14ac:dyDescent="0.25">
      <c r="A260" s="8" t="s">
        <v>298</v>
      </c>
      <c r="B260" s="5" t="s">
        <v>46</v>
      </c>
      <c r="C260" s="5" t="s">
        <v>37</v>
      </c>
      <c r="D260" s="6" t="s">
        <v>38</v>
      </c>
      <c r="E260" s="5" t="s">
        <v>79</v>
      </c>
      <c r="F260" s="3">
        <v>0</v>
      </c>
      <c r="G260" s="3">
        <v>0</v>
      </c>
      <c r="H260" s="3">
        <v>-5195</v>
      </c>
      <c r="I260" s="3">
        <v>0</v>
      </c>
      <c r="J260" s="3">
        <v>0</v>
      </c>
      <c r="K260" s="3">
        <v>0</v>
      </c>
      <c r="L260" s="3">
        <v>-5195</v>
      </c>
    </row>
    <row r="261" spans="1:12" x14ac:dyDescent="0.25">
      <c r="A261" s="8" t="s">
        <v>338</v>
      </c>
      <c r="B261" s="5" t="s">
        <v>46</v>
      </c>
      <c r="C261" s="5" t="s">
        <v>37</v>
      </c>
      <c r="D261" s="6" t="e">
        <v>#N/A</v>
      </c>
      <c r="E261" s="5" t="s">
        <v>34</v>
      </c>
      <c r="F261" s="3">
        <v>0</v>
      </c>
      <c r="G261" s="3">
        <v>-5660.05</v>
      </c>
      <c r="H261" s="3">
        <v>0</v>
      </c>
      <c r="I261" s="3">
        <v>0</v>
      </c>
      <c r="J261" s="3">
        <v>0</v>
      </c>
      <c r="K261" s="3">
        <v>0</v>
      </c>
      <c r="L261" s="3">
        <v>-5660.05</v>
      </c>
    </row>
    <row r="262" spans="1:12" x14ac:dyDescent="0.25">
      <c r="A262" s="8" t="s">
        <v>299</v>
      </c>
      <c r="B262" s="5" t="s">
        <v>46</v>
      </c>
      <c r="C262" s="5" t="s">
        <v>37</v>
      </c>
      <c r="D262" s="6" t="s">
        <v>38</v>
      </c>
      <c r="E262" s="5" t="s">
        <v>51</v>
      </c>
      <c r="F262" s="3">
        <v>0</v>
      </c>
      <c r="G262" s="3">
        <v>0</v>
      </c>
      <c r="H262" s="3">
        <v>-5820</v>
      </c>
      <c r="I262" s="3">
        <v>0</v>
      </c>
      <c r="J262" s="3">
        <v>0</v>
      </c>
      <c r="K262" s="3">
        <v>0</v>
      </c>
      <c r="L262" s="3">
        <v>-5820</v>
      </c>
    </row>
    <row r="263" spans="1:12" x14ac:dyDescent="0.25">
      <c r="A263" s="8" t="s">
        <v>220</v>
      </c>
      <c r="B263" s="5" t="s">
        <v>46</v>
      </c>
      <c r="C263" s="5" t="s">
        <v>18</v>
      </c>
      <c r="D263" s="6" t="s">
        <v>19</v>
      </c>
      <c r="E263" s="5" t="s">
        <v>34</v>
      </c>
      <c r="F263" s="3">
        <v>0</v>
      </c>
      <c r="G263" s="3">
        <v>-6700</v>
      </c>
      <c r="H263" s="3">
        <v>0</v>
      </c>
      <c r="I263" s="3">
        <v>0</v>
      </c>
      <c r="J263" s="3">
        <v>0</v>
      </c>
      <c r="K263" s="3">
        <v>0</v>
      </c>
      <c r="L263" s="3">
        <v>-6700</v>
      </c>
    </row>
    <row r="264" spans="1:12" x14ac:dyDescent="0.25">
      <c r="A264" s="8" t="s">
        <v>266</v>
      </c>
      <c r="B264" s="5" t="s">
        <v>46</v>
      </c>
      <c r="C264" s="5" t="s">
        <v>37</v>
      </c>
      <c r="D264" s="6" t="s">
        <v>38</v>
      </c>
      <c r="E264" s="5" t="s">
        <v>79</v>
      </c>
      <c r="F264" s="3">
        <v>0</v>
      </c>
      <c r="G264" s="3">
        <v>-8205.82</v>
      </c>
      <c r="H264" s="3">
        <v>246</v>
      </c>
      <c r="I264" s="3">
        <v>0</v>
      </c>
      <c r="J264" s="3">
        <v>-55.48</v>
      </c>
      <c r="K264" s="3">
        <v>0</v>
      </c>
      <c r="L264" s="3">
        <v>-8015.2999999999993</v>
      </c>
    </row>
    <row r="265" spans="1:12" x14ac:dyDescent="0.25">
      <c r="A265" s="8" t="s">
        <v>201</v>
      </c>
      <c r="B265" s="5" t="s">
        <v>46</v>
      </c>
      <c r="C265" s="5" t="s">
        <v>37</v>
      </c>
      <c r="D265" s="6" t="s">
        <v>38</v>
      </c>
      <c r="E265" s="5" t="s">
        <v>51</v>
      </c>
      <c r="F265" s="3">
        <v>0</v>
      </c>
      <c r="G265" s="3">
        <v>-12771</v>
      </c>
      <c r="H265" s="3">
        <v>0</v>
      </c>
      <c r="I265" s="3">
        <v>0</v>
      </c>
      <c r="J265" s="3">
        <v>235</v>
      </c>
      <c r="K265" s="3">
        <v>0</v>
      </c>
      <c r="L265" s="3">
        <v>-12536</v>
      </c>
    </row>
    <row r="266" spans="1:12" x14ac:dyDescent="0.25">
      <c r="A266" s="8" t="s">
        <v>301</v>
      </c>
      <c r="B266" s="5" t="s">
        <v>17</v>
      </c>
      <c r="C266" s="5" t="s">
        <v>18</v>
      </c>
      <c r="D266" s="6" t="s">
        <v>19</v>
      </c>
      <c r="E266" s="5" t="s">
        <v>15</v>
      </c>
      <c r="F266" s="3">
        <v>0</v>
      </c>
      <c r="G266" s="3">
        <v>0</v>
      </c>
      <c r="H266" s="3">
        <v>-20281.689999999999</v>
      </c>
      <c r="I266" s="3">
        <v>0</v>
      </c>
      <c r="J266" s="3">
        <v>0</v>
      </c>
      <c r="K266" s="3">
        <v>0</v>
      </c>
      <c r="L266" s="3">
        <v>-20281.689999999999</v>
      </c>
    </row>
    <row r="267" spans="1:12" x14ac:dyDescent="0.25">
      <c r="A267" s="8" t="s">
        <v>344</v>
      </c>
      <c r="B267" s="5" t="e">
        <v>#N/A</v>
      </c>
      <c r="C267" s="5" t="e">
        <v>#N/A</v>
      </c>
      <c r="D267" s="6" t="e">
        <v>#N/A</v>
      </c>
      <c r="E267" s="5" t="e">
        <v>#N/A</v>
      </c>
      <c r="F267" s="3">
        <v>0</v>
      </c>
      <c r="G267" s="3">
        <v>-24631.9</v>
      </c>
      <c r="H267" s="3">
        <v>0</v>
      </c>
      <c r="I267" s="3">
        <v>0</v>
      </c>
      <c r="J267" s="3">
        <v>0</v>
      </c>
      <c r="K267" s="3">
        <v>0</v>
      </c>
      <c r="L267" s="3">
        <v>-24631.9</v>
      </c>
    </row>
    <row r="268" spans="1:12" x14ac:dyDescent="0.25">
      <c r="A268" s="8" t="s">
        <v>235</v>
      </c>
      <c r="B268" s="5" t="s">
        <v>46</v>
      </c>
      <c r="C268" s="5" t="s">
        <v>37</v>
      </c>
      <c r="D268" s="6" t="s">
        <v>38</v>
      </c>
      <c r="E268" s="5" t="s">
        <v>181</v>
      </c>
      <c r="F268" s="3">
        <v>0</v>
      </c>
      <c r="G268" s="3">
        <v>-26900</v>
      </c>
      <c r="H268" s="3">
        <v>0</v>
      </c>
      <c r="I268" s="3">
        <v>0</v>
      </c>
      <c r="J268" s="3">
        <v>2180.4899999999998</v>
      </c>
      <c r="K268" s="3">
        <v>0</v>
      </c>
      <c r="L268" s="3">
        <v>-24719.51</v>
      </c>
    </row>
    <row r="269" spans="1:12" x14ac:dyDescent="0.25">
      <c r="A269" s="8" t="s">
        <v>341</v>
      </c>
      <c r="B269" s="5" t="s">
        <v>46</v>
      </c>
      <c r="C269" s="5" t="s">
        <v>37</v>
      </c>
      <c r="D269" s="6" t="e">
        <v>#N/A</v>
      </c>
      <c r="E269" s="5" t="s">
        <v>34</v>
      </c>
      <c r="F269" s="3">
        <v>0</v>
      </c>
      <c r="G269" s="3">
        <v>-29580.04</v>
      </c>
      <c r="H269" s="3">
        <v>0.54</v>
      </c>
      <c r="I269" s="3">
        <v>0</v>
      </c>
      <c r="J269" s="3">
        <v>0</v>
      </c>
      <c r="K269" s="3">
        <v>0</v>
      </c>
      <c r="L269" s="3">
        <v>-29579.5</v>
      </c>
    </row>
    <row r="270" spans="1:12" x14ac:dyDescent="0.25">
      <c r="A270" s="8" t="s">
        <v>304</v>
      </c>
      <c r="B270" s="5" t="s">
        <v>46</v>
      </c>
      <c r="C270" s="5" t="s">
        <v>18</v>
      </c>
      <c r="D270" s="6" t="s">
        <v>305</v>
      </c>
      <c r="E270" s="5" t="s">
        <v>51</v>
      </c>
      <c r="F270" s="3">
        <v>28080</v>
      </c>
      <c r="G270" s="3">
        <v>-96940</v>
      </c>
      <c r="H270" s="3">
        <v>-150</v>
      </c>
      <c r="I270" s="3">
        <v>0</v>
      </c>
      <c r="J270" s="3">
        <v>0</v>
      </c>
      <c r="K270" s="3">
        <v>0</v>
      </c>
      <c r="L270" s="3">
        <v>-69010</v>
      </c>
    </row>
    <row r="271" spans="1:12" x14ac:dyDescent="0.25">
      <c r="A271" s="8" t="s">
        <v>303</v>
      </c>
      <c r="B271" s="5" t="s">
        <v>17</v>
      </c>
      <c r="C271" s="5" t="s">
        <v>37</v>
      </c>
      <c r="D271" s="6" t="s">
        <v>38</v>
      </c>
      <c r="E271" s="5" t="s">
        <v>15</v>
      </c>
      <c r="F271" s="3">
        <v>0</v>
      </c>
      <c r="G271" s="3">
        <v>-15.6</v>
      </c>
      <c r="H271" s="3">
        <v>0</v>
      </c>
      <c r="I271" s="3">
        <v>-109693.6</v>
      </c>
      <c r="J271" s="3">
        <v>0</v>
      </c>
      <c r="K271" s="3">
        <v>0</v>
      </c>
      <c r="L271" s="3">
        <v>-109709.2</v>
      </c>
    </row>
    <row r="272" spans="1:12" x14ac:dyDescent="0.25">
      <c r="A272" s="8" t="s">
        <v>307</v>
      </c>
      <c r="B272" s="5" t="s">
        <v>17</v>
      </c>
      <c r="C272" s="5" t="s">
        <v>18</v>
      </c>
      <c r="D272" s="6" t="s">
        <v>19</v>
      </c>
      <c r="E272" s="5" t="s">
        <v>15</v>
      </c>
      <c r="F272" s="3">
        <v>72188.5</v>
      </c>
      <c r="G272" s="3">
        <v>-133051</v>
      </c>
      <c r="H272" s="3">
        <v>0</v>
      </c>
      <c r="I272" s="3">
        <v>-73998.75</v>
      </c>
      <c r="J272" s="3">
        <v>0</v>
      </c>
      <c r="K272" s="3">
        <v>0</v>
      </c>
      <c r="L272" s="3">
        <v>-134861.25</v>
      </c>
    </row>
    <row r="273" spans="1:12" x14ac:dyDescent="0.25">
      <c r="A273" s="8" t="s">
        <v>193</v>
      </c>
      <c r="B273" s="5" t="s">
        <v>17</v>
      </c>
      <c r="C273" s="5" t="s">
        <v>37</v>
      </c>
      <c r="D273" s="6" t="s">
        <v>38</v>
      </c>
      <c r="E273" s="5" t="s">
        <v>15</v>
      </c>
      <c r="F273" s="3">
        <v>0</v>
      </c>
      <c r="G273" s="3">
        <v>-167542</v>
      </c>
      <c r="H273" s="3">
        <v>400</v>
      </c>
      <c r="I273" s="3">
        <v>142</v>
      </c>
      <c r="J273" s="3">
        <v>0</v>
      </c>
      <c r="K273" s="3">
        <v>0</v>
      </c>
      <c r="L273" s="3">
        <v>-167000</v>
      </c>
    </row>
  </sheetData>
  <autoFilter ref="A4:L233" xr:uid="{00000000-0001-0000-0000-000000000000}">
    <sortState xmlns:xlrd2="http://schemas.microsoft.com/office/spreadsheetml/2017/richdata2" ref="A6:L273">
      <sortCondition descending="1" ref="L4:L233"/>
    </sortState>
  </autoFilter>
  <mergeCells count="6">
    <mergeCell ref="A1:L1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7C59-1946-404F-9ED3-DE5B86DC5B69}">
  <dimension ref="A1:L441"/>
  <sheetViews>
    <sheetView rightToLeft="1" tabSelected="1" workbookViewId="0">
      <selection activeCell="I8" sqref="I8"/>
    </sheetView>
  </sheetViews>
  <sheetFormatPr defaultRowHeight="15" x14ac:dyDescent="0.25"/>
  <cols>
    <col min="1" max="1" width="35.5703125" style="4" bestFit="1" customWidth="1"/>
    <col min="2" max="2" width="17.42578125" style="7" bestFit="1" customWidth="1"/>
    <col min="3" max="4" width="13.140625" style="7" customWidth="1"/>
    <col min="5" max="5" width="15.5703125" style="7" customWidth="1"/>
    <col min="6" max="6" width="15.85546875" style="7" customWidth="1"/>
    <col min="7" max="8" width="15.85546875" style="7" bestFit="1" customWidth="1"/>
    <col min="9" max="9" width="13.7109375" style="7" customWidth="1"/>
    <col min="10" max="10" width="15.85546875" style="7" bestFit="1" customWidth="1"/>
    <col min="11" max="11" width="14.140625" style="7" customWidth="1"/>
    <col min="12" max="12" width="16.85546875" style="7" customWidth="1"/>
    <col min="13" max="16384" width="9.140625" style="1"/>
  </cols>
  <sheetData>
    <row r="1" spans="1:12" ht="26.25" customHeight="1" thickBot="1" x14ac:dyDescent="0.25">
      <c r="A1" s="11" t="s">
        <v>368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3" spans="1:12" ht="15.75" customHeight="1" x14ac:dyDescent="0.25">
      <c r="A3" s="14" t="s">
        <v>1</v>
      </c>
      <c r="B3" s="14" t="s">
        <v>2</v>
      </c>
      <c r="C3" s="19" t="s">
        <v>3</v>
      </c>
      <c r="D3" s="19" t="s">
        <v>4</v>
      </c>
      <c r="E3" s="14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s="4" customFormat="1" x14ac:dyDescent="0.25">
      <c r="A4" s="14"/>
      <c r="B4" s="14"/>
      <c r="C4" s="19"/>
      <c r="D4" s="19"/>
      <c r="E4" s="14"/>
      <c r="F4" s="3">
        <f t="shared" ref="F4:K4" si="0">SUBTOTAL(9,F5:F233)</f>
        <v>14287612.340000002</v>
      </c>
      <c r="G4" s="3">
        <f t="shared" si="0"/>
        <v>22058707.600000001</v>
      </c>
      <c r="H4" s="3">
        <f t="shared" si="0"/>
        <v>12011433.230000004</v>
      </c>
      <c r="I4" s="3">
        <f t="shared" si="0"/>
        <v>1623862.8</v>
      </c>
      <c r="J4" s="3">
        <f t="shared" si="0"/>
        <v>11454552.339999994</v>
      </c>
      <c r="K4" s="3">
        <f t="shared" si="0"/>
        <v>0</v>
      </c>
      <c r="L4" s="3">
        <f>F4+G4+H4+I4+J4</f>
        <v>61436168.310000002</v>
      </c>
    </row>
    <row r="5" spans="1:12" ht="19.5" x14ac:dyDescent="0.4">
      <c r="A5" s="8" t="s">
        <v>13</v>
      </c>
      <c r="B5" s="5">
        <f>VLOOKUP(A5,'[1]تحديث العملاء'!$A:$D,2,0)</f>
        <v>0</v>
      </c>
      <c r="C5" s="5" t="str">
        <f>VLOOKUP(A5,'[1]تحديث العملاء'!$A:$D,3,0)</f>
        <v>عميل - مورد</v>
      </c>
      <c r="D5" s="6">
        <f>VLOOKUP(A5,'09-09'!A:L,4,0)</f>
        <v>0</v>
      </c>
      <c r="E5" s="5" t="str">
        <f>VLOOKUP(A5,'[1]تحديث العملاء'!$A:$D,4,0)</f>
        <v>Haddil Haron</v>
      </c>
      <c r="F5" s="20">
        <v>0</v>
      </c>
      <c r="G5" s="20">
        <v>1213450</v>
      </c>
      <c r="H5" s="20">
        <v>7014154.8899999997</v>
      </c>
      <c r="I5" s="20">
        <v>37926.29</v>
      </c>
      <c r="J5" s="20">
        <v>596748.59</v>
      </c>
      <c r="K5" s="3"/>
      <c r="L5" s="3">
        <f t="shared" ref="L5:L68" si="1">F5+G5+H5+I5+J5</f>
        <v>8862279.7699999996</v>
      </c>
    </row>
    <row r="6" spans="1:12" ht="19.5" x14ac:dyDescent="0.4">
      <c r="A6" s="8" t="s">
        <v>16</v>
      </c>
      <c r="B6" s="5" t="str">
        <f>VLOOKUP(A6,'[1]تحديث العملاء'!$A:$D,2,0)</f>
        <v>MAS</v>
      </c>
      <c r="C6" s="5" t="str">
        <f>VLOOKUP(A6,'[1]تحديث العملاء'!$A:$D,3,0)</f>
        <v>عملاء اجل</v>
      </c>
      <c r="D6" s="6" t="str">
        <f>VLOOKUP(A6,'09-09'!A:L,4,0)</f>
        <v>30 يوماً</v>
      </c>
      <c r="E6" s="5" t="str">
        <f>VLOOKUP(A6,'[1]تحديث العملاء'!$A:$D,4,0)</f>
        <v>Haddil Haron</v>
      </c>
      <c r="F6" s="20">
        <v>1141227.48</v>
      </c>
      <c r="G6" s="20">
        <v>2691012.45</v>
      </c>
      <c r="H6" s="20">
        <v>35846</v>
      </c>
      <c r="I6" s="20">
        <v>214841.5</v>
      </c>
      <c r="J6" s="20">
        <v>190187.66</v>
      </c>
      <c r="K6" s="3"/>
      <c r="L6" s="3">
        <f t="shared" si="1"/>
        <v>4273115.09</v>
      </c>
    </row>
    <row r="7" spans="1:12" ht="19.5" x14ac:dyDescent="0.4">
      <c r="A7" s="5" t="s">
        <v>22</v>
      </c>
      <c r="B7" s="5" t="str">
        <f>VLOOKUP(A7,'[1]تحديث العملاء'!$A:$D,2,0)</f>
        <v>MAS</v>
      </c>
      <c r="C7" s="5" t="str">
        <f>VLOOKUP(A7,'[1]تحديث العملاء'!$A:$D,3,0)</f>
        <v>عملاء اجل</v>
      </c>
      <c r="D7" s="6" t="str">
        <f>VLOOKUP(A7,'09-09'!A:L,4,0)</f>
        <v>60 يوم</v>
      </c>
      <c r="E7" s="5" t="str">
        <f>VLOOKUP(A7,'[1]تحديث العملاء'!$A:$D,4,0)</f>
        <v>Haddil Haron</v>
      </c>
      <c r="F7" s="20">
        <v>1655148.21</v>
      </c>
      <c r="G7" s="20">
        <v>110499.2</v>
      </c>
      <c r="H7" s="20">
        <v>486645.6</v>
      </c>
      <c r="I7" s="20">
        <v>16368</v>
      </c>
      <c r="J7" s="20">
        <v>582364.27</v>
      </c>
      <c r="K7" s="5"/>
      <c r="L7" s="3">
        <f t="shared" si="1"/>
        <v>2851025.28</v>
      </c>
    </row>
    <row r="8" spans="1:12" ht="19.5" x14ac:dyDescent="0.4">
      <c r="A8" s="5" t="s">
        <v>26</v>
      </c>
      <c r="B8" s="5" t="str">
        <f>VLOOKUP(A8,'[1]تحديث العملاء'!$A:$D,2,0)</f>
        <v>MAS</v>
      </c>
      <c r="C8" s="5" t="str">
        <f>VLOOKUP(A8,'[1]تحديث العملاء'!$A:$D,3,0)</f>
        <v>عملاء اجل</v>
      </c>
      <c r="D8" s="6" t="str">
        <f>VLOOKUP(A8,'09-09'!A:L,4,0)</f>
        <v>15 of month</v>
      </c>
      <c r="E8" s="5" t="str">
        <f>VLOOKUP(A8,'[1]تحديث العملاء'!$A:$D,4,0)</f>
        <v>Haddil Haron</v>
      </c>
      <c r="F8" s="20">
        <v>858085.5</v>
      </c>
      <c r="G8" s="20">
        <v>1824701.24</v>
      </c>
      <c r="H8" s="20">
        <v>0</v>
      </c>
      <c r="I8" s="20">
        <v>0</v>
      </c>
      <c r="J8" s="20">
        <v>0</v>
      </c>
      <c r="K8" s="5"/>
      <c r="L8" s="3">
        <f t="shared" si="1"/>
        <v>2682786.7400000002</v>
      </c>
    </row>
    <row r="9" spans="1:12" ht="19.5" x14ac:dyDescent="0.4">
      <c r="A9" s="5" t="s">
        <v>20</v>
      </c>
      <c r="B9" s="5" t="str">
        <f>VLOOKUP(A9,'[1]تحديث العملاء'!$A:$D,2,0)</f>
        <v>MAS</v>
      </c>
      <c r="C9" s="5" t="str">
        <f>VLOOKUP(A9,'[1]تحديث العملاء'!$A:$D,3,0)</f>
        <v>عملاء اجل</v>
      </c>
      <c r="D9" s="6" t="str">
        <f>VLOOKUP(A9,'09-09'!A:L,4,0)</f>
        <v>15 of month</v>
      </c>
      <c r="E9" s="5" t="str">
        <f>VLOOKUP(A9,'[1]تحديث العملاء'!$A:$D,4,0)</f>
        <v>Haddil Haron</v>
      </c>
      <c r="F9" s="20">
        <v>94852.76</v>
      </c>
      <c r="G9" s="20">
        <v>712013.79</v>
      </c>
      <c r="H9" s="20">
        <v>793521.9</v>
      </c>
      <c r="I9" s="20">
        <v>0</v>
      </c>
      <c r="J9" s="20">
        <v>927344.29</v>
      </c>
      <c r="K9" s="5"/>
      <c r="L9" s="3">
        <f t="shared" si="1"/>
        <v>2527732.7400000002</v>
      </c>
    </row>
    <row r="10" spans="1:12" ht="19.5" x14ac:dyDescent="0.4">
      <c r="A10" s="5" t="s">
        <v>25</v>
      </c>
      <c r="B10" s="5" t="str">
        <f>VLOOKUP(A10,'[1]تحديث العملاء'!$A:$D,2,0)</f>
        <v>MAS</v>
      </c>
      <c r="C10" s="5" t="str">
        <f>VLOOKUP(A10,'[1]تحديث العملاء'!$A:$D,3,0)</f>
        <v>عملاء اجل</v>
      </c>
      <c r="D10" s="6" t="str">
        <f>VLOOKUP(A10,'09-09'!A:L,4,0)</f>
        <v>30 يوماً</v>
      </c>
      <c r="E10" s="5" t="str">
        <f>VLOOKUP(A10,'[1]تحديث العملاء'!$A:$D,4,0)</f>
        <v>Haddil Haron</v>
      </c>
      <c r="F10" s="20">
        <v>422280</v>
      </c>
      <c r="G10" s="20">
        <v>1759611</v>
      </c>
      <c r="H10" s="20">
        <v>0</v>
      </c>
      <c r="I10" s="20">
        <v>0</v>
      </c>
      <c r="J10" s="20">
        <v>46254.23</v>
      </c>
      <c r="K10" s="5"/>
      <c r="L10" s="3">
        <f t="shared" si="1"/>
        <v>2228145.23</v>
      </c>
    </row>
    <row r="11" spans="1:12" ht="19.5" x14ac:dyDescent="0.4">
      <c r="A11" s="8" t="s">
        <v>24</v>
      </c>
      <c r="B11" s="5" t="str">
        <f>VLOOKUP(A11,'[1]تحديث العملاء'!$A:$D,2,0)</f>
        <v>MAS</v>
      </c>
      <c r="C11" s="5" t="str">
        <f>VLOOKUP(A11,'[1]تحديث العملاء'!$A:$D,3,0)</f>
        <v>عملاء اجل</v>
      </c>
      <c r="D11" s="6" t="str">
        <f>VLOOKUP(A11,'09-09'!A:L,4,0)</f>
        <v>15 of month</v>
      </c>
      <c r="E11" s="5" t="str">
        <f>VLOOKUP(A11,'[1]تحديث العملاء'!$A:$D,4,0)</f>
        <v>Haddil Haron</v>
      </c>
      <c r="F11" s="20">
        <v>472785</v>
      </c>
      <c r="G11" s="20">
        <v>1225775</v>
      </c>
      <c r="H11" s="20">
        <v>129921.94</v>
      </c>
      <c r="I11" s="20">
        <v>210000</v>
      </c>
      <c r="J11" s="20">
        <v>0</v>
      </c>
      <c r="K11" s="3"/>
      <c r="L11" s="3">
        <f t="shared" si="1"/>
        <v>2038481.94</v>
      </c>
    </row>
    <row r="12" spans="1:12" ht="19.5" x14ac:dyDescent="0.4">
      <c r="A12" s="8" t="s">
        <v>58</v>
      </c>
      <c r="B12" s="5" t="str">
        <f>VLOOKUP(A12,'[1]تحديث العملاء'!$A:$D,2,0)</f>
        <v>MAS</v>
      </c>
      <c r="C12" s="5" t="str">
        <f>VLOOKUP(A12,'[1]تحديث العملاء'!$A:$D,3,0)</f>
        <v>عملاء اجل</v>
      </c>
      <c r="D12" s="6" t="str">
        <f>VLOOKUP(A12,'09-09'!A:L,4,0)</f>
        <v>30 يوماً</v>
      </c>
      <c r="E12" s="5" t="str">
        <f>VLOOKUP(A12,'[1]تحديث العملاء'!$A:$D,4,0)</f>
        <v>Haddil Haron</v>
      </c>
      <c r="F12" s="20">
        <v>1715648.52</v>
      </c>
      <c r="G12" s="20">
        <v>214699.27</v>
      </c>
      <c r="H12" s="20">
        <v>0</v>
      </c>
      <c r="I12" s="20">
        <v>0</v>
      </c>
      <c r="J12" s="20">
        <v>0</v>
      </c>
      <c r="K12" s="3"/>
      <c r="L12" s="3">
        <f t="shared" si="1"/>
        <v>1930347.79</v>
      </c>
    </row>
    <row r="13" spans="1:12" ht="19.5" x14ac:dyDescent="0.4">
      <c r="A13" s="8" t="s">
        <v>27</v>
      </c>
      <c r="B13" s="5" t="str">
        <f>VLOOKUP(A13,'[1]تحديث العملاء'!$A:$D,2,0)</f>
        <v>MAS</v>
      </c>
      <c r="C13" s="5" t="str">
        <f>VLOOKUP(A13,'[1]تحديث العملاء'!$A:$D,3,0)</f>
        <v>عملاء اجل</v>
      </c>
      <c r="D13" s="6" t="str">
        <f>VLOOKUP(A13,'09-09'!A:L,4,0)</f>
        <v>15 of month</v>
      </c>
      <c r="E13" s="5" t="str">
        <f>VLOOKUP(A13,'[1]تحديث العملاء'!$A:$D,4,0)</f>
        <v>Haddil Haron</v>
      </c>
      <c r="F13" s="20">
        <v>411936</v>
      </c>
      <c r="G13" s="20">
        <v>1293044</v>
      </c>
      <c r="H13" s="20">
        <v>148161.48000000001</v>
      </c>
      <c r="I13" s="20">
        <v>0</v>
      </c>
      <c r="J13" s="20">
        <v>0</v>
      </c>
      <c r="K13" s="3"/>
      <c r="L13" s="3">
        <f t="shared" si="1"/>
        <v>1853141.48</v>
      </c>
    </row>
    <row r="14" spans="1:12" ht="19.5" x14ac:dyDescent="0.4">
      <c r="A14" s="5" t="s">
        <v>52</v>
      </c>
      <c r="B14" s="5" t="str">
        <f>VLOOKUP(A14,'[1]تحديث العملاء'!$A:$D,2,0)</f>
        <v>MAS</v>
      </c>
      <c r="C14" s="5" t="str">
        <f>VLOOKUP(A14,'[1]تحديث العملاء'!$A:$D,3,0)</f>
        <v>عملاء اجل</v>
      </c>
      <c r="D14" s="6" t="str">
        <f>VLOOKUP(A14,'09-09'!A:L,4,0)</f>
        <v>30 يوماً</v>
      </c>
      <c r="E14" s="5" t="str">
        <f>VLOOKUP(A14,'[1]تحديث العملاء'!$A:$D,4,0)</f>
        <v>Haddil Haron</v>
      </c>
      <c r="F14" s="20">
        <v>892905.56</v>
      </c>
      <c r="G14" s="20">
        <v>625911.43999999994</v>
      </c>
      <c r="H14" s="20">
        <v>60970.1</v>
      </c>
      <c r="I14" s="20">
        <v>0</v>
      </c>
      <c r="J14" s="20">
        <v>22.1</v>
      </c>
      <c r="K14" s="5"/>
      <c r="L14" s="3">
        <f t="shared" si="1"/>
        <v>1579809.2000000002</v>
      </c>
    </row>
    <row r="15" spans="1:12" ht="19.5" x14ac:dyDescent="0.4">
      <c r="A15" s="8" t="s">
        <v>32</v>
      </c>
      <c r="B15" s="5" t="str">
        <f>VLOOKUP(A15,'[1]تحديث العملاء'!$A:$D,2,0)</f>
        <v>MAS</v>
      </c>
      <c r="C15" s="5" t="str">
        <f>VLOOKUP(A15,'[1]تحديث العملاء'!$A:$D,3,0)</f>
        <v>متجمد</v>
      </c>
      <c r="D15" s="6">
        <f>VLOOKUP(A15,'09-09'!A:L,4,0)</f>
        <v>0</v>
      </c>
      <c r="E15" s="5" t="str">
        <f>VLOOKUP(A15,'[1]تحديث العملاء'!$A:$D,4,0)</f>
        <v>Naden Amgad</v>
      </c>
      <c r="F15" s="20">
        <v>0</v>
      </c>
      <c r="G15" s="20">
        <v>0</v>
      </c>
      <c r="H15" s="20">
        <v>0</v>
      </c>
      <c r="I15" s="20">
        <v>0</v>
      </c>
      <c r="J15" s="20">
        <v>1478936.96</v>
      </c>
      <c r="K15" s="3"/>
      <c r="L15" s="3">
        <f t="shared" si="1"/>
        <v>1478936.96</v>
      </c>
    </row>
    <row r="16" spans="1:12" ht="19.5" x14ac:dyDescent="0.4">
      <c r="A16" s="8" t="s">
        <v>43</v>
      </c>
      <c r="B16" s="5" t="str">
        <f>VLOOKUP(A16,'[1]تحديث العملاء'!$A:$D,2,0)</f>
        <v>MAS</v>
      </c>
      <c r="C16" s="5" t="str">
        <f>VLOOKUP(A16,'[1]تحديث العملاء'!$A:$D,3,0)</f>
        <v>عملاء اجل</v>
      </c>
      <c r="D16" s="6" t="str">
        <f>VLOOKUP(A16,'09-09'!A:L,4,0)</f>
        <v>30 يوماً</v>
      </c>
      <c r="E16" s="5" t="str">
        <f>VLOOKUP(A16,'[1]تحديث العملاء'!$A:$D,4,0)</f>
        <v>Haddil Haron</v>
      </c>
      <c r="F16" s="20">
        <v>738658.75</v>
      </c>
      <c r="G16" s="20">
        <v>683306.51</v>
      </c>
      <c r="H16" s="20">
        <v>0</v>
      </c>
      <c r="I16" s="20">
        <v>0</v>
      </c>
      <c r="J16" s="20">
        <v>0</v>
      </c>
      <c r="K16" s="3"/>
      <c r="L16" s="3">
        <f t="shared" si="1"/>
        <v>1421965.26</v>
      </c>
    </row>
    <row r="17" spans="1:12" ht="19.5" x14ac:dyDescent="0.4">
      <c r="A17" s="8" t="s">
        <v>35</v>
      </c>
      <c r="B17" s="5" t="str">
        <f>VLOOKUP(A17,'[1]تحديث العملاء'!$A:$D,2,0)</f>
        <v>MAS</v>
      </c>
      <c r="C17" s="5" t="str">
        <f>VLOOKUP(A17,'[1]تحديث العملاء'!$A:$D,3,0)</f>
        <v>عملاء اجل</v>
      </c>
      <c r="D17" s="6" t="str">
        <f>VLOOKUP(A17,'09-09'!A:L,4,0)</f>
        <v>30 يوماً</v>
      </c>
      <c r="E17" s="5" t="str">
        <f>VLOOKUP(A17,'[1]تحديث العملاء'!$A:$D,4,0)</f>
        <v>Haddil Haron</v>
      </c>
      <c r="F17" s="20">
        <v>0</v>
      </c>
      <c r="G17" s="20">
        <v>0</v>
      </c>
      <c r="H17" s="20">
        <v>39366</v>
      </c>
      <c r="I17" s="20">
        <v>12000</v>
      </c>
      <c r="J17" s="20">
        <v>1369387.17</v>
      </c>
      <c r="K17" s="3"/>
      <c r="L17" s="3">
        <f t="shared" si="1"/>
        <v>1420753.17</v>
      </c>
    </row>
    <row r="18" spans="1:12" ht="19.5" x14ac:dyDescent="0.4">
      <c r="A18" s="8" t="s">
        <v>49</v>
      </c>
      <c r="B18" s="5" t="str">
        <f>VLOOKUP(A18,'[1]تحديث العملاء'!$A:$D,2,0)</f>
        <v>MAS</v>
      </c>
      <c r="C18" s="5" t="str">
        <f>VLOOKUP(A18,'[1]تحديث العملاء'!$A:$D,3,0)</f>
        <v>عملاء اجل</v>
      </c>
      <c r="D18" s="6" t="str">
        <f>VLOOKUP(A18,'09-09'!A:L,4,0)</f>
        <v>30 يوماً</v>
      </c>
      <c r="E18" s="5" t="str">
        <f>VLOOKUP(A18,'[1]تحديث العملاء'!$A:$D,4,0)</f>
        <v>Haddil Haron</v>
      </c>
      <c r="F18" s="20">
        <v>800232.92</v>
      </c>
      <c r="G18" s="20">
        <v>29350</v>
      </c>
      <c r="H18" s="20">
        <v>0</v>
      </c>
      <c r="I18" s="20">
        <v>557422.66</v>
      </c>
      <c r="J18" s="20">
        <v>200.78</v>
      </c>
      <c r="K18" s="3"/>
      <c r="L18" s="3">
        <f t="shared" si="1"/>
        <v>1387206.36</v>
      </c>
    </row>
    <row r="19" spans="1:12" ht="19.5" x14ac:dyDescent="0.4">
      <c r="A19" s="5" t="s">
        <v>56</v>
      </c>
      <c r="B19" s="5" t="str">
        <f>VLOOKUP(A19,'[1]تحديث العملاء'!$A:$D,2,0)</f>
        <v>MAS</v>
      </c>
      <c r="C19" s="5" t="str">
        <f>VLOOKUP(A19,'[1]تحديث العملاء'!$A:$D,3,0)</f>
        <v>عملاء اجل</v>
      </c>
      <c r="D19" s="6" t="str">
        <f>VLOOKUP(A19,'09-09'!A:L,4,0)</f>
        <v>15 يوماً</v>
      </c>
      <c r="E19" s="5" t="str">
        <f>VLOOKUP(A19,'[1]تحديث العملاء'!$A:$D,4,0)</f>
        <v>Haddil Haron</v>
      </c>
      <c r="F19" s="20">
        <v>668899.19999999995</v>
      </c>
      <c r="G19" s="20">
        <v>238947.96</v>
      </c>
      <c r="H19" s="20">
        <v>128600</v>
      </c>
      <c r="I19" s="20">
        <v>0</v>
      </c>
      <c r="J19" s="20">
        <v>227050</v>
      </c>
      <c r="K19" s="5"/>
      <c r="L19" s="3">
        <f t="shared" si="1"/>
        <v>1263497.1599999999</v>
      </c>
    </row>
    <row r="20" spans="1:12" ht="19.5" x14ac:dyDescent="0.4">
      <c r="A20" s="8" t="s">
        <v>65</v>
      </c>
      <c r="B20" s="5" t="str">
        <f>VLOOKUP(A20,'[1]تحديث العملاء'!$A:$D,2,0)</f>
        <v>MAS</v>
      </c>
      <c r="C20" s="5" t="str">
        <f>VLOOKUP(A20,'[1]تحديث العملاء'!$A:$D,3,0)</f>
        <v xml:space="preserve">عملاء كاش </v>
      </c>
      <c r="D20" s="6" t="str">
        <f>VLOOKUP(A20,'09-09'!A:L,4,0)</f>
        <v xml:space="preserve">الدفع الفوري </v>
      </c>
      <c r="E20" s="5" t="str">
        <f>VLOOKUP(A20,'[1]تحديث العملاء'!$A:$D,4,0)</f>
        <v>Haddil Haron</v>
      </c>
      <c r="F20" s="20">
        <v>0</v>
      </c>
      <c r="G20" s="20">
        <v>837760.74</v>
      </c>
      <c r="H20" s="20">
        <v>422992.8</v>
      </c>
      <c r="I20" s="20">
        <v>0</v>
      </c>
      <c r="J20" s="20">
        <v>0</v>
      </c>
      <c r="K20" s="3"/>
      <c r="L20" s="3">
        <f t="shared" si="1"/>
        <v>1260753.54</v>
      </c>
    </row>
    <row r="21" spans="1:12" ht="19.5" x14ac:dyDescent="0.4">
      <c r="A21" s="8" t="s">
        <v>60</v>
      </c>
      <c r="B21" s="5" t="str">
        <f>VLOOKUP(A21,'[1]تحديث العملاء'!$A:$D,2,0)</f>
        <v>MAS</v>
      </c>
      <c r="C21" s="5" t="str">
        <f>VLOOKUP(A21,'[1]تحديث العملاء'!$A:$D,3,0)</f>
        <v>عملاء اجل</v>
      </c>
      <c r="D21" s="6" t="str">
        <f>VLOOKUP(A21,'09-09'!A:L,4,0)</f>
        <v>15 of month</v>
      </c>
      <c r="E21" s="5" t="str">
        <f>VLOOKUP(A21,'[1]تحديث العملاء'!$A:$D,4,0)</f>
        <v>Haddil Haron</v>
      </c>
      <c r="F21" s="20">
        <v>435082.76</v>
      </c>
      <c r="G21" s="20">
        <v>507299.44</v>
      </c>
      <c r="H21" s="20">
        <v>66995.850000000006</v>
      </c>
      <c r="I21" s="20">
        <v>7855.5</v>
      </c>
      <c r="J21" s="20">
        <v>0</v>
      </c>
      <c r="K21" s="3"/>
      <c r="L21" s="3">
        <f t="shared" si="1"/>
        <v>1017233.5499999999</v>
      </c>
    </row>
    <row r="22" spans="1:12" ht="19.5" x14ac:dyDescent="0.4">
      <c r="A22" s="8" t="s">
        <v>44</v>
      </c>
      <c r="B22" s="5" t="str">
        <f>VLOOKUP(A22,'[1]تحديث العملاء'!$A:$D,2,0)</f>
        <v>MAS</v>
      </c>
      <c r="C22" s="5" t="str">
        <f>VLOOKUP(A22,'[1]تحديث العملاء'!$A:$D,3,0)</f>
        <v>عملاء اجل</v>
      </c>
      <c r="D22" s="6" t="str">
        <f>VLOOKUP(A22,'09-09'!A:L,4,0)</f>
        <v>15 يوماً</v>
      </c>
      <c r="E22" s="5" t="str">
        <f>VLOOKUP(A22,'[1]تحديث العملاء'!$A:$D,4,0)</f>
        <v>Haddil Haron</v>
      </c>
      <c r="F22" s="20">
        <v>0</v>
      </c>
      <c r="G22" s="20">
        <v>242157.25</v>
      </c>
      <c r="H22" s="20">
        <v>0</v>
      </c>
      <c r="I22" s="20">
        <v>320187.3</v>
      </c>
      <c r="J22" s="20">
        <v>416516.24</v>
      </c>
      <c r="K22" s="3"/>
      <c r="L22" s="3">
        <f t="shared" si="1"/>
        <v>978860.79</v>
      </c>
    </row>
    <row r="23" spans="1:12" ht="19.5" x14ac:dyDescent="0.4">
      <c r="A23" s="8" t="s">
        <v>54</v>
      </c>
      <c r="B23" s="5" t="str">
        <f>VLOOKUP(A23,'[1]تحديث العملاء'!$A:$D,2,0)</f>
        <v>MAS</v>
      </c>
      <c r="C23" s="5" t="str">
        <f>VLOOKUP(A23,'[1]تحديث العملاء'!$A:$D,3,0)</f>
        <v>عملاء اجل</v>
      </c>
      <c r="D23" s="6" t="str">
        <f>VLOOKUP(A23,'09-09'!A:L,4,0)</f>
        <v>15 يوماً</v>
      </c>
      <c r="E23" s="5" t="str">
        <f>VLOOKUP(A23,'[1]تحديث العملاء'!$A:$D,4,0)</f>
        <v>Haddil Haron</v>
      </c>
      <c r="F23" s="20">
        <v>242465.4</v>
      </c>
      <c r="G23" s="20">
        <v>594689.5</v>
      </c>
      <c r="H23" s="20">
        <v>139597.45000000001</v>
      </c>
      <c r="I23" s="20">
        <v>0</v>
      </c>
      <c r="J23" s="20">
        <v>0</v>
      </c>
      <c r="K23" s="3"/>
      <c r="L23" s="3">
        <f t="shared" si="1"/>
        <v>976752.35000000009</v>
      </c>
    </row>
    <row r="24" spans="1:12" ht="19.5" x14ac:dyDescent="0.4">
      <c r="A24" s="8" t="s">
        <v>42</v>
      </c>
      <c r="B24" s="5">
        <f>VLOOKUP(A24,'[1]تحديث العملاء'!$A:$D,2,0)</f>
        <v>0</v>
      </c>
      <c r="C24" s="5" t="str">
        <f>VLOOKUP(A24,'[1]تحديث العملاء'!$A:$D,3,0)</f>
        <v>عميل - مورد</v>
      </c>
      <c r="D24" s="6">
        <f>VLOOKUP(A24,'09-09'!A:L,4,0)</f>
        <v>0</v>
      </c>
      <c r="E24" s="5" t="str">
        <f>VLOOKUP(A24,'[1]تحديث العملاء'!$A:$D,4,0)</f>
        <v>Amgad Ahmed</v>
      </c>
      <c r="F24" s="20">
        <v>0</v>
      </c>
      <c r="G24" s="20">
        <v>414565</v>
      </c>
      <c r="H24" s="20">
        <v>211382.38</v>
      </c>
      <c r="I24" s="20">
        <v>0</v>
      </c>
      <c r="J24" s="20">
        <v>221186.56</v>
      </c>
      <c r="K24" s="3"/>
      <c r="L24" s="3">
        <f t="shared" si="1"/>
        <v>847133.94</v>
      </c>
    </row>
    <row r="25" spans="1:12" ht="19.5" x14ac:dyDescent="0.4">
      <c r="A25" s="5" t="s">
        <v>55</v>
      </c>
      <c r="B25" s="5" t="str">
        <f>VLOOKUP(A25,'[1]تحديث العملاء'!$A:$D,2,0)</f>
        <v>MAS</v>
      </c>
      <c r="C25" s="5" t="str">
        <f>VLOOKUP(A25,'[1]تحديث العملاء'!$A:$D,3,0)</f>
        <v>عملاء اجل</v>
      </c>
      <c r="D25" s="6" t="str">
        <f>VLOOKUP(A25,'09-09'!A:L,4,0)</f>
        <v>30 يوماً</v>
      </c>
      <c r="E25" s="5" t="str">
        <f>VLOOKUP(A25,'[1]تحديث العملاء'!$A:$D,4,0)</f>
        <v>Haddil Haron</v>
      </c>
      <c r="F25" s="20">
        <v>0</v>
      </c>
      <c r="G25" s="20">
        <v>6125</v>
      </c>
      <c r="H25" s="20">
        <v>176935</v>
      </c>
      <c r="I25" s="20">
        <v>1950</v>
      </c>
      <c r="J25" s="20">
        <v>652132</v>
      </c>
      <c r="K25" s="5"/>
      <c r="L25" s="3">
        <f t="shared" si="1"/>
        <v>837142</v>
      </c>
    </row>
    <row r="26" spans="1:12" ht="19.5" x14ac:dyDescent="0.4">
      <c r="A26" s="5" t="s">
        <v>57</v>
      </c>
      <c r="B26" s="5" t="str">
        <f>VLOOKUP(A26,'[1]تحديث العملاء'!$A:$D,2,0)</f>
        <v>MAS</v>
      </c>
      <c r="C26" s="5" t="str">
        <f>VLOOKUP(A26,'[1]تحديث العملاء'!$A:$D,3,0)</f>
        <v>عملاء اجل</v>
      </c>
      <c r="D26" s="6">
        <f>VLOOKUP(A26,'09-09'!A:L,4,0)</f>
        <v>0</v>
      </c>
      <c r="E26" s="5" t="str">
        <f>VLOOKUP(A26,'[1]تحديث العملاء'!$A:$D,4,0)</f>
        <v>Haddil Haron</v>
      </c>
      <c r="F26" s="20">
        <v>121380</v>
      </c>
      <c r="G26" s="20">
        <v>164261.25</v>
      </c>
      <c r="H26" s="20">
        <v>520638.1</v>
      </c>
      <c r="I26" s="20">
        <v>0</v>
      </c>
      <c r="J26" s="20">
        <v>0</v>
      </c>
      <c r="K26" s="5"/>
      <c r="L26" s="3">
        <f t="shared" si="1"/>
        <v>806279.35</v>
      </c>
    </row>
    <row r="27" spans="1:12" ht="19.5" x14ac:dyDescent="0.4">
      <c r="A27" s="8" t="s">
        <v>50</v>
      </c>
      <c r="B27" s="5" t="str">
        <f>VLOOKUP(A27,'[1]تحديث العملاء'!$A:$D,2,0)</f>
        <v>Horeca Smart</v>
      </c>
      <c r="C27" s="5" t="str">
        <f>VLOOKUP(A27,'[1]تحديث العملاء'!$A:$D,3,0)</f>
        <v>عملاء اجل</v>
      </c>
      <c r="D27" s="6" t="str">
        <f>VLOOKUP(A27,'09-09'!A:L,4,0)</f>
        <v>15 of month</v>
      </c>
      <c r="E27" s="5" t="str">
        <f>VLOOKUP(A27,'[1]تحديث العملاء'!$A:$D,4,0)</f>
        <v>Mona Mohamed</v>
      </c>
      <c r="F27" s="20">
        <v>88150</v>
      </c>
      <c r="G27" s="20">
        <v>601634.68999999994</v>
      </c>
      <c r="H27" s="20">
        <v>0</v>
      </c>
      <c r="I27" s="20">
        <v>392.5</v>
      </c>
      <c r="J27" s="20">
        <v>88.6</v>
      </c>
      <c r="K27" s="3"/>
      <c r="L27" s="3">
        <f t="shared" si="1"/>
        <v>690265.78999999992</v>
      </c>
    </row>
    <row r="28" spans="1:12" ht="19.5" x14ac:dyDescent="0.4">
      <c r="A28" s="5" t="s">
        <v>30</v>
      </c>
      <c r="B28" s="5" t="str">
        <f>VLOOKUP(A28,'[1]تحديث العملاء'!$A:$D,2,0)</f>
        <v>MAS</v>
      </c>
      <c r="C28" s="5" t="str">
        <f>VLOOKUP(A28,'[1]تحديث العملاء'!$A:$D,3,0)</f>
        <v>عملاء اجل</v>
      </c>
      <c r="D28" s="6" t="str">
        <f>VLOOKUP(A28,'09-09'!A:L,4,0)</f>
        <v>15 يوماً</v>
      </c>
      <c r="E28" s="5" t="str">
        <f>VLOOKUP(A28,'[1]تحديث العملاء'!$A:$D,4,0)</f>
        <v>Haddil Haron</v>
      </c>
      <c r="F28" s="20">
        <v>602488.69999999995</v>
      </c>
      <c r="G28" s="20">
        <v>-117847.19</v>
      </c>
      <c r="H28" s="20">
        <v>0</v>
      </c>
      <c r="I28" s="20">
        <v>0</v>
      </c>
      <c r="J28" s="20">
        <v>154204.10999999999</v>
      </c>
      <c r="K28" s="5"/>
      <c r="L28" s="3">
        <f t="shared" si="1"/>
        <v>638845.61999999988</v>
      </c>
    </row>
    <row r="29" spans="1:12" ht="19.5" x14ac:dyDescent="0.4">
      <c r="A29" s="5" t="s">
        <v>69</v>
      </c>
      <c r="B29" s="5" t="str">
        <f>VLOOKUP(A29,'[1]تحديث العملاء'!$A:$D,2,0)</f>
        <v>Horeca Smart</v>
      </c>
      <c r="C29" s="5" t="str">
        <f>VLOOKUP(A29,'[1]تحديث العملاء'!$A:$D,3,0)</f>
        <v>عملاء اجل</v>
      </c>
      <c r="D29" s="6" t="str">
        <f>VLOOKUP(A29,'09-09'!A:L,4,0)</f>
        <v>15 of month</v>
      </c>
      <c r="E29" s="5" t="str">
        <f>VLOOKUP(A29,'[1]تحديث العملاء'!$A:$D,4,0)</f>
        <v>Mona Mohamed</v>
      </c>
      <c r="F29" s="20">
        <v>83680</v>
      </c>
      <c r="G29" s="20">
        <v>228000</v>
      </c>
      <c r="H29" s="20">
        <v>0</v>
      </c>
      <c r="I29" s="20">
        <v>30277.25</v>
      </c>
      <c r="J29" s="20">
        <v>256211.48</v>
      </c>
      <c r="K29" s="5"/>
      <c r="L29" s="3">
        <f t="shared" si="1"/>
        <v>598168.73</v>
      </c>
    </row>
    <row r="30" spans="1:12" ht="19.5" x14ac:dyDescent="0.4">
      <c r="A30" s="5" t="s">
        <v>62</v>
      </c>
      <c r="B30" s="5" t="str">
        <f>VLOOKUP(A30,'[1]تحديث العملاء'!$A:$D,2,0)</f>
        <v>MAS</v>
      </c>
      <c r="C30" s="5" t="str">
        <f>VLOOKUP(A30,'[1]تحديث العملاء'!$A:$D,3,0)</f>
        <v>متجمد</v>
      </c>
      <c r="D30" s="6">
        <f>VLOOKUP(A30,'09-09'!A:L,4,0)</f>
        <v>0</v>
      </c>
      <c r="E30" s="5" t="str">
        <f>VLOOKUP(A30,'[1]تحديث العملاء'!$A:$D,4,0)</f>
        <v>Donia Khaled</v>
      </c>
      <c r="F30" s="20">
        <v>0</v>
      </c>
      <c r="G30" s="20">
        <v>0</v>
      </c>
      <c r="H30" s="20">
        <v>0</v>
      </c>
      <c r="I30" s="20">
        <v>0</v>
      </c>
      <c r="J30" s="20">
        <v>515589.97</v>
      </c>
      <c r="K30" s="5"/>
      <c r="L30" s="3">
        <f t="shared" si="1"/>
        <v>515589.97</v>
      </c>
    </row>
    <row r="31" spans="1:12" ht="19.5" x14ac:dyDescent="0.4">
      <c r="A31" s="5" t="s">
        <v>63</v>
      </c>
      <c r="B31" s="5" t="str">
        <f>VLOOKUP(A31,'[1]تحديث العملاء'!$A:$D,2,0)</f>
        <v>MAS</v>
      </c>
      <c r="C31" s="5" t="str">
        <f>VLOOKUP(A31,'[1]تحديث العملاء'!$A:$D,3,0)</f>
        <v>عميل - مورد</v>
      </c>
      <c r="D31" s="6" t="str">
        <f>VLOOKUP(A31,'09-09'!A:L,4,0)</f>
        <v xml:space="preserve">الدفع الفوري </v>
      </c>
      <c r="E31" s="5" t="str">
        <f>VLOOKUP(A31,'[1]تحديث العملاء'!$A:$D,4,0)</f>
        <v>Haddil Haron</v>
      </c>
      <c r="F31" s="20">
        <v>0</v>
      </c>
      <c r="G31" s="20">
        <v>0</v>
      </c>
      <c r="H31" s="20">
        <v>487719</v>
      </c>
      <c r="I31" s="20">
        <v>0</v>
      </c>
      <c r="J31" s="20">
        <v>5667.89</v>
      </c>
      <c r="K31" s="5"/>
      <c r="L31" s="3">
        <f t="shared" si="1"/>
        <v>493386.89</v>
      </c>
    </row>
    <row r="32" spans="1:12" ht="19.5" x14ac:dyDescent="0.4">
      <c r="A32" s="8" t="s">
        <v>322</v>
      </c>
      <c r="B32" s="5" t="e">
        <f>VLOOKUP(A32,'[1]تحديث العملاء'!$A:$D,2,0)</f>
        <v>#N/A</v>
      </c>
      <c r="C32" s="5" t="e">
        <f>VLOOKUP(A32,'[1]تحديث العملاء'!$A:$D,3,0)</f>
        <v>#N/A</v>
      </c>
      <c r="D32" s="6">
        <f>VLOOKUP(A32,'09-09'!A:L,4,0)</f>
        <v>0</v>
      </c>
      <c r="E32" s="5" t="e">
        <f>VLOOKUP(A32,'[1]تحديث العملاء'!$A:$D,4,0)</f>
        <v>#N/A</v>
      </c>
      <c r="F32" s="20">
        <v>0</v>
      </c>
      <c r="G32" s="20">
        <v>488185.71</v>
      </c>
      <c r="H32" s="20">
        <v>0</v>
      </c>
      <c r="I32" s="20">
        <v>0</v>
      </c>
      <c r="J32" s="20">
        <v>0</v>
      </c>
      <c r="K32" s="3"/>
      <c r="L32" s="3">
        <f t="shared" si="1"/>
        <v>488185.71</v>
      </c>
    </row>
    <row r="33" spans="1:12" ht="19.5" x14ac:dyDescent="0.4">
      <c r="A33" s="5" t="s">
        <v>36</v>
      </c>
      <c r="B33" s="5">
        <f>VLOOKUP(A33,'[1]تحديث العملاء'!$A:$D,2,0)</f>
        <v>0</v>
      </c>
      <c r="C33" s="5" t="str">
        <f>VLOOKUP(A33,'[1]تحديث العملاء'!$A:$D,3,0)</f>
        <v xml:space="preserve">عملاء كاش </v>
      </c>
      <c r="D33" s="6" t="str">
        <f>VLOOKUP(A33,'09-09'!A:L,4,0)</f>
        <v xml:space="preserve">الدفع الفوري </v>
      </c>
      <c r="E33" s="5" t="str">
        <f>VLOOKUP(A33,'[1]تحديث العملاء'!$A:$D,4,0)</f>
        <v>AbdElrhaman Farrag</v>
      </c>
      <c r="F33" s="20">
        <v>0</v>
      </c>
      <c r="G33" s="20">
        <v>464976</v>
      </c>
      <c r="H33" s="20">
        <v>-33.6</v>
      </c>
      <c r="I33" s="20">
        <v>-0.6</v>
      </c>
      <c r="J33" s="20">
        <v>0</v>
      </c>
      <c r="K33" s="5"/>
      <c r="L33" s="3">
        <f t="shared" si="1"/>
        <v>464941.80000000005</v>
      </c>
    </row>
    <row r="34" spans="1:12" ht="19.5" x14ac:dyDescent="0.4">
      <c r="A34" s="8" t="s">
        <v>75</v>
      </c>
      <c r="B34" s="5" t="str">
        <f>VLOOKUP(A34,'[1]تحديث العملاء'!$A:$D,2,0)</f>
        <v>MAS</v>
      </c>
      <c r="C34" s="5" t="str">
        <f>VLOOKUP(A34,'[1]تحديث العملاء'!$A:$D,3,0)</f>
        <v>عملاء اجل</v>
      </c>
      <c r="D34" s="6" t="str">
        <f>VLOOKUP(A34,'09-09'!A:L,4,0)</f>
        <v>15 يوماً</v>
      </c>
      <c r="E34" s="5" t="str">
        <f>VLOOKUP(A34,'[1]تحديث العملاء'!$A:$D,4,0)</f>
        <v>Haddil Haron</v>
      </c>
      <c r="F34" s="20">
        <v>223345.15</v>
      </c>
      <c r="G34" s="20">
        <v>133624.82</v>
      </c>
      <c r="H34" s="20">
        <v>86122.18</v>
      </c>
      <c r="I34" s="20">
        <v>561.63</v>
      </c>
      <c r="J34" s="20">
        <v>3009.81</v>
      </c>
      <c r="K34" s="3"/>
      <c r="L34" s="3">
        <f t="shared" si="1"/>
        <v>446663.58999999997</v>
      </c>
    </row>
    <row r="35" spans="1:12" ht="19.5" x14ac:dyDescent="0.4">
      <c r="A35" s="8" t="s">
        <v>61</v>
      </c>
      <c r="B35" s="5" t="str">
        <f>VLOOKUP(A35,'[1]تحديث العملاء'!$A:$D,2,0)</f>
        <v>MAS</v>
      </c>
      <c r="C35" s="5" t="str">
        <f>VLOOKUP(A35,'[1]تحديث العملاء'!$A:$D,3,0)</f>
        <v>عملاء اجل</v>
      </c>
      <c r="D35" s="6" t="str">
        <f>VLOOKUP(A35,'09-09'!A:L,4,0)</f>
        <v>15 of month</v>
      </c>
      <c r="E35" s="5" t="str">
        <f>VLOOKUP(A35,'[1]تحديث العملاء'!$A:$D,4,0)</f>
        <v>Haddil Haron</v>
      </c>
      <c r="F35" s="20">
        <v>0</v>
      </c>
      <c r="G35" s="20">
        <v>-92400</v>
      </c>
      <c r="H35" s="20">
        <v>0</v>
      </c>
      <c r="I35" s="20">
        <v>0</v>
      </c>
      <c r="J35" s="20">
        <v>538980.74</v>
      </c>
      <c r="K35" s="3"/>
      <c r="L35" s="3">
        <f t="shared" si="1"/>
        <v>446580.74</v>
      </c>
    </row>
    <row r="36" spans="1:12" ht="19.5" x14ac:dyDescent="0.4">
      <c r="A36" s="8" t="s">
        <v>87</v>
      </c>
      <c r="B36" s="5" t="str">
        <f>VLOOKUP(A36,'[1]تحديث العملاء'!$A:$D,2,0)</f>
        <v>MAS</v>
      </c>
      <c r="C36" s="5" t="str">
        <f>VLOOKUP(A36,'[1]تحديث العملاء'!$A:$D,3,0)</f>
        <v>عملاء اجل</v>
      </c>
      <c r="D36" s="6" t="str">
        <f>VLOOKUP(A36,'09-09'!A:L,4,0)</f>
        <v>30 يوماً</v>
      </c>
      <c r="E36" s="5" t="str">
        <f>VLOOKUP(A36,'[1]تحديث العملاء'!$A:$D,4,0)</f>
        <v>Haddil Haron</v>
      </c>
      <c r="F36" s="20">
        <v>232384.4</v>
      </c>
      <c r="G36" s="20">
        <v>202141</v>
      </c>
      <c r="H36" s="20">
        <v>0</v>
      </c>
      <c r="I36" s="20">
        <v>-113340</v>
      </c>
      <c r="J36" s="20">
        <v>113340</v>
      </c>
      <c r="K36" s="3"/>
      <c r="L36" s="3">
        <f t="shared" si="1"/>
        <v>434525.4</v>
      </c>
    </row>
    <row r="37" spans="1:12" ht="19.5" x14ac:dyDescent="0.4">
      <c r="A37" s="5" t="s">
        <v>66</v>
      </c>
      <c r="B37" s="5" t="str">
        <f>VLOOKUP(A37,'[1]تحديث العملاء'!$A:$D,2,0)</f>
        <v>MAS</v>
      </c>
      <c r="C37" s="5" t="str">
        <f>VLOOKUP(A37,'[1]تحديث العملاء'!$A:$D,3,0)</f>
        <v>عملاء اجل</v>
      </c>
      <c r="D37" s="6" t="str">
        <f>VLOOKUP(A37,'09-09'!A:L,4,0)</f>
        <v>30 يوماً</v>
      </c>
      <c r="E37" s="5" t="str">
        <f>VLOOKUP(A37,'[1]تحديث العملاء'!$A:$D,4,0)</f>
        <v>Haddil Haron</v>
      </c>
      <c r="F37" s="20">
        <v>0</v>
      </c>
      <c r="G37" s="20">
        <v>0</v>
      </c>
      <c r="H37" s="20">
        <v>0</v>
      </c>
      <c r="I37" s="20">
        <v>0</v>
      </c>
      <c r="J37" s="20">
        <v>408176.14</v>
      </c>
      <c r="K37" s="5"/>
      <c r="L37" s="3">
        <f t="shared" si="1"/>
        <v>408176.14</v>
      </c>
    </row>
    <row r="38" spans="1:12" ht="19.5" x14ac:dyDescent="0.4">
      <c r="A38" s="8" t="s">
        <v>45</v>
      </c>
      <c r="B38" s="5" t="str">
        <f>VLOOKUP(A38,'[1]تحديث العملاء'!$A:$D,2,0)</f>
        <v>Horeca Smart</v>
      </c>
      <c r="C38" s="5" t="str">
        <f>VLOOKUP(A38,'[1]تحديث العملاء'!$A:$D,3,0)</f>
        <v>عملاء اجل</v>
      </c>
      <c r="D38" s="6" t="str">
        <f>VLOOKUP(A38,'09-09'!A:L,4,0)</f>
        <v xml:space="preserve">10 أيام بعد نهاية الشهر التالي </v>
      </c>
      <c r="E38" s="5" t="str">
        <f>VLOOKUP(A38,'[1]تحديث العملاء'!$A:$D,4,0)</f>
        <v>Donia Khaled</v>
      </c>
      <c r="F38" s="20">
        <v>0</v>
      </c>
      <c r="G38" s="20">
        <v>386294.74</v>
      </c>
      <c r="H38" s="20">
        <v>0</v>
      </c>
      <c r="I38" s="20">
        <v>0</v>
      </c>
      <c r="J38" s="20">
        <v>0</v>
      </c>
      <c r="K38" s="3"/>
      <c r="L38" s="3">
        <f t="shared" si="1"/>
        <v>386294.74</v>
      </c>
    </row>
    <row r="39" spans="1:12" ht="19.5" x14ac:dyDescent="0.4">
      <c r="A39" s="5" t="s">
        <v>80</v>
      </c>
      <c r="B39" s="5" t="str">
        <f>VLOOKUP(A39,'[1]تحديث العملاء'!$A:$D,2,0)</f>
        <v>MAS</v>
      </c>
      <c r="C39" s="5" t="str">
        <f>VLOOKUP(A39,'[1]تحديث العملاء'!$A:$D,3,0)</f>
        <v>عملاء اجل</v>
      </c>
      <c r="D39" s="6" t="str">
        <f>VLOOKUP(A39,'09-09'!A:L,4,0)</f>
        <v>15 of month</v>
      </c>
      <c r="E39" s="5" t="str">
        <f>VLOOKUP(A39,'[1]تحديث العملاء'!$A:$D,4,0)</f>
        <v>Haddil Haron</v>
      </c>
      <c r="F39" s="20">
        <v>95120</v>
      </c>
      <c r="G39" s="20">
        <v>157394.18</v>
      </c>
      <c r="H39" s="20">
        <v>0</v>
      </c>
      <c r="I39" s="20">
        <v>129041.60000000001</v>
      </c>
      <c r="J39" s="20">
        <v>1.1000000000000001</v>
      </c>
      <c r="K39" s="5"/>
      <c r="L39" s="3">
        <f t="shared" si="1"/>
        <v>381556.88</v>
      </c>
    </row>
    <row r="40" spans="1:12" ht="19.5" x14ac:dyDescent="0.4">
      <c r="A40" s="5" t="s">
        <v>74</v>
      </c>
      <c r="B40" s="5" t="str">
        <f>VLOOKUP(A40,'[1]تحديث العملاء'!$A:$D,2,0)</f>
        <v>MAS</v>
      </c>
      <c r="C40" s="5" t="str">
        <f>VLOOKUP(A40,'[1]تحديث العملاء'!$A:$D,3,0)</f>
        <v>عملاء اجل</v>
      </c>
      <c r="D40" s="6" t="str">
        <f>VLOOKUP(A40,'09-09'!A:L,4,0)</f>
        <v>15 of month</v>
      </c>
      <c r="E40" s="5" t="str">
        <f>VLOOKUP(A40,'[1]تحديث العملاء'!$A:$D,4,0)</f>
        <v>Haddil Haron</v>
      </c>
      <c r="F40" s="20">
        <v>51268.800000000003</v>
      </c>
      <c r="G40" s="20">
        <v>77152.600000000006</v>
      </c>
      <c r="H40" s="20">
        <v>0</v>
      </c>
      <c r="I40" s="20">
        <v>0</v>
      </c>
      <c r="J40" s="20">
        <v>248874.02</v>
      </c>
      <c r="K40" s="5"/>
      <c r="L40" s="3">
        <f t="shared" si="1"/>
        <v>377295.42</v>
      </c>
    </row>
    <row r="41" spans="1:12" ht="19.5" x14ac:dyDescent="0.4">
      <c r="A41" s="8" t="s">
        <v>28</v>
      </c>
      <c r="B41" s="5" t="str">
        <f>VLOOKUP(A41,'[1]تحديث العملاء'!$A:$D,2,0)</f>
        <v>MAS</v>
      </c>
      <c r="C41" s="5" t="str">
        <f>VLOOKUP(A41,'[1]تحديث العملاء'!$A:$D,3,0)</f>
        <v>عملاء اجل</v>
      </c>
      <c r="D41" s="6" t="str">
        <f>VLOOKUP(A41,'09-09'!A:L,4,0)</f>
        <v>10 يوماً</v>
      </c>
      <c r="E41" s="5" t="str">
        <f>VLOOKUP(A41,'[1]تحديث العملاء'!$A:$D,4,0)</f>
        <v>Haddil Haron</v>
      </c>
      <c r="F41" s="20">
        <v>287050.64</v>
      </c>
      <c r="G41" s="20">
        <v>57107.77</v>
      </c>
      <c r="H41" s="20">
        <v>0</v>
      </c>
      <c r="I41" s="20">
        <v>0</v>
      </c>
      <c r="J41" s="20">
        <v>22223.47</v>
      </c>
      <c r="K41" s="3"/>
      <c r="L41" s="3">
        <f t="shared" si="1"/>
        <v>366381.88</v>
      </c>
    </row>
    <row r="42" spans="1:12" ht="19.5" x14ac:dyDescent="0.4">
      <c r="A42" s="5" t="s">
        <v>67</v>
      </c>
      <c r="B42" s="5" t="str">
        <f>VLOOKUP(A42,'[1]تحديث العملاء'!$A:$D,2,0)</f>
        <v>MAS</v>
      </c>
      <c r="C42" s="5" t="str">
        <f>VLOOKUP(A42,'[1]تحديث العملاء'!$A:$D,3,0)</f>
        <v>عميل - مورد</v>
      </c>
      <c r="D42" s="6" t="str">
        <f>VLOOKUP(A42,'09-09'!A:L,4,0)</f>
        <v>5 Days</v>
      </c>
      <c r="E42" s="5" t="str">
        <f>VLOOKUP(A42,'[1]تحديث العملاء'!$A:$D,4,0)</f>
        <v>Haddil Haron</v>
      </c>
      <c r="F42" s="20">
        <v>0</v>
      </c>
      <c r="G42" s="20">
        <v>0</v>
      </c>
      <c r="H42" s="20">
        <v>0</v>
      </c>
      <c r="I42" s="20">
        <v>0</v>
      </c>
      <c r="J42" s="20">
        <v>363946.82</v>
      </c>
      <c r="K42" s="5"/>
      <c r="L42" s="3">
        <f t="shared" si="1"/>
        <v>363946.82</v>
      </c>
    </row>
    <row r="43" spans="1:12" ht="19.5" x14ac:dyDescent="0.4">
      <c r="A43" s="8" t="s">
        <v>73</v>
      </c>
      <c r="B43" s="5" t="str">
        <f>VLOOKUP(A43,'[1]تحديث العملاء'!$A:$D,2,0)</f>
        <v>MAS</v>
      </c>
      <c r="C43" s="5" t="str">
        <f>VLOOKUP(A43,'[1]تحديث العملاء'!$A:$D,3,0)</f>
        <v>عملاء اجل</v>
      </c>
      <c r="D43" s="6" t="str">
        <f>VLOOKUP(A43,'09-09'!A:L,4,0)</f>
        <v>30 يوماً</v>
      </c>
      <c r="E43" s="5" t="str">
        <f>VLOOKUP(A43,'[1]تحديث العملاء'!$A:$D,4,0)</f>
        <v>Haddil Haron</v>
      </c>
      <c r="F43" s="20">
        <v>117668.75</v>
      </c>
      <c r="G43" s="20">
        <v>120762.75</v>
      </c>
      <c r="H43" s="20">
        <v>27866.7</v>
      </c>
      <c r="I43" s="20">
        <v>0</v>
      </c>
      <c r="J43" s="20">
        <v>96706.42</v>
      </c>
      <c r="K43" s="3"/>
      <c r="L43" s="3">
        <f t="shared" si="1"/>
        <v>363004.62</v>
      </c>
    </row>
    <row r="44" spans="1:12" ht="19.5" x14ac:dyDescent="0.4">
      <c r="A44" s="5" t="s">
        <v>348</v>
      </c>
      <c r="B44" s="5" t="e">
        <f>VLOOKUP(A44,'[1]تحديث العملاء'!$A:$D,2,0)</f>
        <v>#N/A</v>
      </c>
      <c r="C44" s="5" t="e">
        <f>VLOOKUP(A44,'[1]تحديث العملاء'!$A:$D,3,0)</f>
        <v>#N/A</v>
      </c>
      <c r="D44" s="6" t="e">
        <f>VLOOKUP(A44,'09-09'!A:L,4,0)</f>
        <v>#N/A</v>
      </c>
      <c r="E44" s="5" t="e">
        <f>VLOOKUP(A44,'[1]تحديث العملاء'!$A:$D,4,0)</f>
        <v>#N/A</v>
      </c>
      <c r="F44" s="20">
        <v>0</v>
      </c>
      <c r="G44" s="20">
        <v>350144.04</v>
      </c>
      <c r="H44" s="20">
        <v>0</v>
      </c>
      <c r="I44" s="20">
        <v>0</v>
      </c>
      <c r="J44" s="20">
        <v>0</v>
      </c>
      <c r="K44" s="5"/>
      <c r="L44" s="3">
        <f t="shared" si="1"/>
        <v>350144.04</v>
      </c>
    </row>
    <row r="45" spans="1:12" ht="19.5" x14ac:dyDescent="0.4">
      <c r="A45" s="5" t="s">
        <v>72</v>
      </c>
      <c r="B45" s="5" t="str">
        <f>VLOOKUP(A45,'[1]تحديث العملاء'!$A:$D,2,0)</f>
        <v>MAS</v>
      </c>
      <c r="C45" s="5" t="str">
        <f>VLOOKUP(A45,'[1]تحديث العملاء'!$A:$D,3,0)</f>
        <v>عملاء اجل</v>
      </c>
      <c r="D45" s="6" t="str">
        <f>VLOOKUP(A45,'09-09'!A:L,4,0)</f>
        <v>15 يوماً</v>
      </c>
      <c r="E45" s="5" t="str">
        <f>VLOOKUP(A45,'[1]تحديث العملاء'!$A:$D,4,0)</f>
        <v>Haddil Haron</v>
      </c>
      <c r="F45" s="20">
        <v>0</v>
      </c>
      <c r="G45" s="20">
        <v>342355</v>
      </c>
      <c r="H45" s="20">
        <v>0</v>
      </c>
      <c r="I45" s="20">
        <v>0</v>
      </c>
      <c r="J45" s="20">
        <v>0</v>
      </c>
      <c r="K45" s="5"/>
      <c r="L45" s="3">
        <f t="shared" si="1"/>
        <v>342355</v>
      </c>
    </row>
    <row r="46" spans="1:12" ht="19.5" x14ac:dyDescent="0.4">
      <c r="A46" s="5" t="s">
        <v>71</v>
      </c>
      <c r="B46" s="5" t="str">
        <f>VLOOKUP(A46,'[1]تحديث العملاء'!$A:$D,2,0)</f>
        <v>MAS</v>
      </c>
      <c r="C46" s="5" t="str">
        <f>VLOOKUP(A46,'[1]تحديث العملاء'!$A:$D,3,0)</f>
        <v>عملاء اجل</v>
      </c>
      <c r="D46" s="6" t="str">
        <f>VLOOKUP(A46,'09-09'!A:L,4,0)</f>
        <v>15 يوماً</v>
      </c>
      <c r="E46" s="5" t="str">
        <f>VLOOKUP(A46,'[1]تحديث العملاء'!$A:$D,4,0)</f>
        <v>Haddil Haron</v>
      </c>
      <c r="F46" s="20">
        <v>239702.5</v>
      </c>
      <c r="G46" s="20">
        <v>0</v>
      </c>
      <c r="H46" s="20">
        <v>0</v>
      </c>
      <c r="I46" s="20">
        <v>65145.85</v>
      </c>
      <c r="J46" s="20">
        <v>34685</v>
      </c>
      <c r="K46" s="5"/>
      <c r="L46" s="3">
        <f t="shared" si="1"/>
        <v>339533.35</v>
      </c>
    </row>
    <row r="47" spans="1:12" ht="19.5" x14ac:dyDescent="0.4">
      <c r="A47" s="8" t="s">
        <v>78</v>
      </c>
      <c r="B47" s="5" t="str">
        <f>VLOOKUP(A47,'[1]تحديث العملاء'!$A:$D,2,0)</f>
        <v>Horeca Smart</v>
      </c>
      <c r="C47" s="5" t="str">
        <f>VLOOKUP(A47,'[1]تحديث العملاء'!$A:$D,3,0)</f>
        <v>عملاء اجل</v>
      </c>
      <c r="D47" s="6" t="str">
        <f>VLOOKUP(A47,'09-09'!A:L,4,0)</f>
        <v>15 يوماً</v>
      </c>
      <c r="E47" s="5" t="str">
        <f>VLOOKUP(A47,'[1]تحديث العملاء'!$A:$D,4,0)</f>
        <v>Reham Maher</v>
      </c>
      <c r="F47" s="20">
        <v>0</v>
      </c>
      <c r="G47" s="20">
        <v>264000</v>
      </c>
      <c r="H47" s="20">
        <v>0</v>
      </c>
      <c r="I47" s="20">
        <v>0</v>
      </c>
      <c r="J47" s="20">
        <v>36173.51</v>
      </c>
      <c r="K47" s="3"/>
      <c r="L47" s="3">
        <f t="shared" si="1"/>
        <v>300173.51</v>
      </c>
    </row>
    <row r="48" spans="1:12" ht="19.5" x14ac:dyDescent="0.4">
      <c r="A48" s="8" t="s">
        <v>90</v>
      </c>
      <c r="B48" s="5" t="str">
        <f>VLOOKUP(A48,'[1]تحديث العملاء'!$A:$D,2,0)</f>
        <v>MAS</v>
      </c>
      <c r="C48" s="5" t="str">
        <f>VLOOKUP(A48,'[1]تحديث العملاء'!$A:$D,3,0)</f>
        <v xml:space="preserve">عملاء كاش </v>
      </c>
      <c r="D48" s="6" t="str">
        <f>VLOOKUP(A48,'09-09'!A:L,4,0)</f>
        <v xml:space="preserve">الدفع الفوري </v>
      </c>
      <c r="E48" s="5" t="str">
        <f>VLOOKUP(A48,'[1]تحديث العملاء'!$A:$D,4,0)</f>
        <v>Haddil Haron</v>
      </c>
      <c r="F48" s="20">
        <v>0</v>
      </c>
      <c r="G48" s="20">
        <v>281705</v>
      </c>
      <c r="H48" s="20">
        <v>0.68</v>
      </c>
      <c r="I48" s="20">
        <v>91</v>
      </c>
      <c r="J48" s="20">
        <v>0</v>
      </c>
      <c r="K48" s="3"/>
      <c r="L48" s="3">
        <f t="shared" si="1"/>
        <v>281796.68</v>
      </c>
    </row>
    <row r="49" spans="1:12" ht="19.5" x14ac:dyDescent="0.4">
      <c r="A49" s="8" t="s">
        <v>64</v>
      </c>
      <c r="B49" s="5" t="str">
        <f>VLOOKUP(A49,'[1]تحديث العملاء'!$A:$D,2,0)</f>
        <v>MAS</v>
      </c>
      <c r="C49" s="5" t="str">
        <f>VLOOKUP(A49,'[1]تحديث العملاء'!$A:$D,3,0)</f>
        <v>عملاء اجل</v>
      </c>
      <c r="D49" s="6" t="str">
        <f>VLOOKUP(A49,'09-09'!A:L,4,0)</f>
        <v>15 of month</v>
      </c>
      <c r="E49" s="5" t="str">
        <f>VLOOKUP(A49,'[1]تحديث العملاء'!$A:$D,4,0)</f>
        <v>Haddil Haron</v>
      </c>
      <c r="F49" s="20">
        <v>84948</v>
      </c>
      <c r="G49" s="20">
        <v>-129925.24</v>
      </c>
      <c r="H49" s="20">
        <v>309424.8</v>
      </c>
      <c r="I49" s="20">
        <v>0</v>
      </c>
      <c r="J49" s="20">
        <v>0</v>
      </c>
      <c r="K49" s="3"/>
      <c r="L49" s="3">
        <f t="shared" si="1"/>
        <v>264447.56</v>
      </c>
    </row>
    <row r="50" spans="1:12" ht="19.5" x14ac:dyDescent="0.4">
      <c r="A50" s="5" t="s">
        <v>86</v>
      </c>
      <c r="B50" s="5" t="str">
        <f>VLOOKUP(A50,'[1]تحديث العملاء'!$A:$D,2,0)</f>
        <v>MAS</v>
      </c>
      <c r="C50" s="5" t="str">
        <f>VLOOKUP(A50,'[1]تحديث العملاء'!$A:$D,3,0)</f>
        <v>عملاء اجل</v>
      </c>
      <c r="D50" s="6" t="str">
        <f>VLOOKUP(A50,'09-09'!A:L,4,0)</f>
        <v>30 يوماً</v>
      </c>
      <c r="E50" s="5" t="str">
        <f>VLOOKUP(A50,'[1]تحديث العملاء'!$A:$D,4,0)</f>
        <v>Haddil Haron</v>
      </c>
      <c r="F50" s="20">
        <v>61295</v>
      </c>
      <c r="G50" s="20">
        <v>85144</v>
      </c>
      <c r="H50" s="20">
        <v>41115.47</v>
      </c>
      <c r="I50" s="20">
        <v>52660</v>
      </c>
      <c r="J50" s="20">
        <v>19632.72</v>
      </c>
      <c r="K50" s="5"/>
      <c r="L50" s="3">
        <f t="shared" si="1"/>
        <v>259847.19</v>
      </c>
    </row>
    <row r="51" spans="1:12" ht="19.5" x14ac:dyDescent="0.4">
      <c r="A51" s="8" t="s">
        <v>82</v>
      </c>
      <c r="B51" s="5" t="str">
        <f>VLOOKUP(A51,'[1]تحديث العملاء'!$A:$D,2,0)</f>
        <v>MAS</v>
      </c>
      <c r="C51" s="5" t="str">
        <f>VLOOKUP(A51,'[1]تحديث العملاء'!$A:$D,3,0)</f>
        <v>متجمد</v>
      </c>
      <c r="D51" s="6">
        <f>VLOOKUP(A51,'09-09'!A:L,4,0)</f>
        <v>0</v>
      </c>
      <c r="E51" s="5" t="str">
        <f>VLOOKUP(A51,'[1]تحديث العملاء'!$A:$D,4,0)</f>
        <v>Mona Mohamed</v>
      </c>
      <c r="F51" s="20">
        <v>0</v>
      </c>
      <c r="G51" s="20">
        <v>0</v>
      </c>
      <c r="H51" s="20">
        <v>0</v>
      </c>
      <c r="I51" s="20">
        <v>0</v>
      </c>
      <c r="J51" s="20">
        <v>257197.93</v>
      </c>
      <c r="K51" s="3"/>
      <c r="L51" s="3">
        <f t="shared" si="1"/>
        <v>257197.93</v>
      </c>
    </row>
    <row r="52" spans="1:12" ht="19.5" x14ac:dyDescent="0.4">
      <c r="A52" s="8" t="s">
        <v>83</v>
      </c>
      <c r="B52" s="5" t="str">
        <f>VLOOKUP(A52,'[1]تحديث العملاء'!$A:$D,2,0)</f>
        <v>MAS</v>
      </c>
      <c r="C52" s="5" t="str">
        <f>VLOOKUP(A52,'[1]تحديث العملاء'!$A:$D,3,0)</f>
        <v>عميل - مورد</v>
      </c>
      <c r="D52" s="6">
        <f>VLOOKUP(A52,'09-09'!A:L,4,0)</f>
        <v>0</v>
      </c>
      <c r="E52" s="5" t="str">
        <f>VLOOKUP(A52,'[1]تحديث العملاء'!$A:$D,4,0)</f>
        <v>Haddil Haron</v>
      </c>
      <c r="F52" s="20">
        <v>49890</v>
      </c>
      <c r="G52" s="20">
        <v>127750</v>
      </c>
      <c r="H52" s="20">
        <v>70381.5</v>
      </c>
      <c r="I52" s="20">
        <v>0</v>
      </c>
      <c r="J52" s="20">
        <v>6853.66</v>
      </c>
      <c r="K52" s="3"/>
      <c r="L52" s="3">
        <f t="shared" si="1"/>
        <v>254875.16</v>
      </c>
    </row>
    <row r="53" spans="1:12" ht="19.5" x14ac:dyDescent="0.4">
      <c r="A53" s="8" t="s">
        <v>76</v>
      </c>
      <c r="B53" s="5" t="str">
        <f>VLOOKUP(A53,'[1]تحديث العملاء'!$A:$D,2,0)</f>
        <v>MAS</v>
      </c>
      <c r="C53" s="5" t="str">
        <f>VLOOKUP(A53,'[1]تحديث العملاء'!$A:$D,3,0)</f>
        <v>عملاء اجل</v>
      </c>
      <c r="D53" s="6" t="str">
        <f>VLOOKUP(A53,'09-09'!A:L,4,0)</f>
        <v>15 of month</v>
      </c>
      <c r="E53" s="5" t="str">
        <f>VLOOKUP(A53,'[1]تحديث العملاء'!$A:$D,4,0)</f>
        <v>Haddil Haron</v>
      </c>
      <c r="F53" s="20">
        <v>180999.26</v>
      </c>
      <c r="G53" s="20">
        <v>12780.49</v>
      </c>
      <c r="H53" s="20">
        <v>47735.61</v>
      </c>
      <c r="I53" s="20">
        <v>0</v>
      </c>
      <c r="J53" s="20">
        <v>0</v>
      </c>
      <c r="K53" s="3"/>
      <c r="L53" s="3">
        <f t="shared" si="1"/>
        <v>241515.36</v>
      </c>
    </row>
    <row r="54" spans="1:12" ht="19.5" x14ac:dyDescent="0.4">
      <c r="A54" s="8" t="s">
        <v>115</v>
      </c>
      <c r="B54" s="5" t="str">
        <f>VLOOKUP(A54,'[1]تحديث العملاء'!$A:$D,2,0)</f>
        <v>MAS</v>
      </c>
      <c r="C54" s="5" t="str">
        <f>VLOOKUP(A54,'[1]تحديث العملاء'!$A:$D,3,0)</f>
        <v xml:space="preserve">عملاء كاش </v>
      </c>
      <c r="D54" s="6" t="str">
        <f>VLOOKUP(A54,'09-09'!A:L,4,0)</f>
        <v xml:space="preserve">الدفع الفوري </v>
      </c>
      <c r="E54" s="5" t="str">
        <f>VLOOKUP(A54,'[1]تحديث العملاء'!$A:$D,4,0)</f>
        <v>Haddil Haron</v>
      </c>
      <c r="F54" s="20">
        <v>0</v>
      </c>
      <c r="G54" s="20">
        <v>237867.29</v>
      </c>
      <c r="H54" s="20">
        <v>-448.95</v>
      </c>
      <c r="I54" s="20">
        <v>0</v>
      </c>
      <c r="J54" s="20">
        <v>0</v>
      </c>
      <c r="K54" s="3"/>
      <c r="L54" s="3">
        <f t="shared" si="1"/>
        <v>237418.34</v>
      </c>
    </row>
    <row r="55" spans="1:12" ht="19.5" x14ac:dyDescent="0.4">
      <c r="A55" s="5" t="s">
        <v>85</v>
      </c>
      <c r="B55" s="5" t="str">
        <f>VLOOKUP(A55,'[1]تحديث العملاء'!$A:$D,2,0)</f>
        <v>Horeca Smart</v>
      </c>
      <c r="C55" s="5" t="str">
        <f>VLOOKUP(A55,'[1]تحديث العملاء'!$A:$D,3,0)</f>
        <v>عملاء اجل</v>
      </c>
      <c r="D55" s="6" t="str">
        <f>VLOOKUP(A55,'09-09'!A:L,4,0)</f>
        <v>30 يوماً</v>
      </c>
      <c r="E55" s="5" t="str">
        <f>VLOOKUP(A55,'[1]تحديث العملاء'!$A:$D,4,0)</f>
        <v>Mona Mohamed</v>
      </c>
      <c r="F55" s="20">
        <v>46462.62</v>
      </c>
      <c r="G55" s="20">
        <v>143947.69</v>
      </c>
      <c r="H55" s="20">
        <v>13953.56</v>
      </c>
      <c r="I55" s="20">
        <v>0</v>
      </c>
      <c r="J55" s="20">
        <v>32765</v>
      </c>
      <c r="K55" s="5"/>
      <c r="L55" s="3">
        <f t="shared" si="1"/>
        <v>237128.87</v>
      </c>
    </row>
    <row r="56" spans="1:12" ht="19.5" x14ac:dyDescent="0.4">
      <c r="A56" s="5" t="s">
        <v>95</v>
      </c>
      <c r="B56" s="5" t="str">
        <f>VLOOKUP(A56,'[1]تحديث العملاء'!$A:$D,2,0)</f>
        <v>MAS</v>
      </c>
      <c r="C56" s="5" t="str">
        <f>VLOOKUP(A56,'[1]تحديث العملاء'!$A:$D,3,0)</f>
        <v>عملاء اجل</v>
      </c>
      <c r="D56" s="6" t="str">
        <f>VLOOKUP(A56,'09-09'!A:L,4,0)</f>
        <v xml:space="preserve">10 أيام بعد نهاية الشهر التالي </v>
      </c>
      <c r="E56" s="5" t="str">
        <f>VLOOKUP(A56,'[1]تحديث العملاء'!$A:$D,4,0)</f>
        <v>Haddil Haron</v>
      </c>
      <c r="F56" s="20">
        <v>236200</v>
      </c>
      <c r="G56" s="20">
        <v>0</v>
      </c>
      <c r="H56" s="20">
        <v>0</v>
      </c>
      <c r="I56" s="20">
        <v>94</v>
      </c>
      <c r="J56" s="20">
        <v>1.4</v>
      </c>
      <c r="K56" s="5"/>
      <c r="L56" s="3">
        <f t="shared" si="1"/>
        <v>236295.4</v>
      </c>
    </row>
    <row r="57" spans="1:12" ht="19.5" x14ac:dyDescent="0.4">
      <c r="A57" s="5" t="s">
        <v>94</v>
      </c>
      <c r="B57" s="5" t="str">
        <f>VLOOKUP(A57,'[1]تحديث العملاء'!$A:$D,2,0)</f>
        <v>MAS</v>
      </c>
      <c r="C57" s="5" t="str">
        <f>VLOOKUP(A57,'[1]تحديث العملاء'!$A:$D,3,0)</f>
        <v>عملاء اجل</v>
      </c>
      <c r="D57" s="6" t="str">
        <f>VLOOKUP(A57,'09-09'!A:L,4,0)</f>
        <v>30 يوماً</v>
      </c>
      <c r="E57" s="5" t="str">
        <f>VLOOKUP(A57,'[1]تحديث العملاء'!$A:$D,4,0)</f>
        <v>Haddil Haron</v>
      </c>
      <c r="F57" s="20">
        <v>221564.65</v>
      </c>
      <c r="G57" s="20">
        <v>8406.9500000000007</v>
      </c>
      <c r="H57" s="20">
        <v>0</v>
      </c>
      <c r="I57" s="20">
        <v>0</v>
      </c>
      <c r="J57" s="20">
        <v>1.7</v>
      </c>
      <c r="K57" s="5"/>
      <c r="L57" s="3">
        <f t="shared" si="1"/>
        <v>229973.30000000002</v>
      </c>
    </row>
    <row r="58" spans="1:12" ht="19.5" x14ac:dyDescent="0.4">
      <c r="A58" s="8" t="s">
        <v>349</v>
      </c>
      <c r="B58" s="5" t="str">
        <f>VLOOKUP(A58,'[1]تحديث العملاء'!$A:$D,2,0)</f>
        <v>MAS</v>
      </c>
      <c r="C58" s="5" t="str">
        <f>VLOOKUP(A58,'[1]تحديث العملاء'!$A:$D,3,0)</f>
        <v xml:space="preserve">عملاء كاش </v>
      </c>
      <c r="D58" s="6" t="e">
        <f>VLOOKUP(A58,'09-09'!A:L,4,0)</f>
        <v>#N/A</v>
      </c>
      <c r="E58" s="5" t="str">
        <f>VLOOKUP(A58,'[1]تحديث العملاء'!$A:$D,4,0)</f>
        <v>Amgad Ahmed</v>
      </c>
      <c r="F58" s="20">
        <v>0</v>
      </c>
      <c r="G58" s="20">
        <v>227502.6</v>
      </c>
      <c r="H58" s="20">
        <v>0</v>
      </c>
      <c r="I58" s="20">
        <v>0</v>
      </c>
      <c r="J58" s="20">
        <v>0</v>
      </c>
      <c r="K58" s="3"/>
      <c r="L58" s="3">
        <f t="shared" si="1"/>
        <v>227502.6</v>
      </c>
    </row>
    <row r="59" spans="1:12" ht="19.5" x14ac:dyDescent="0.4">
      <c r="A59" s="8" t="s">
        <v>111</v>
      </c>
      <c r="B59" s="5" t="str">
        <f>VLOOKUP(A59,'[1]تحديث العملاء'!$A:$D,2,0)</f>
        <v>MAS</v>
      </c>
      <c r="C59" s="5" t="str">
        <f>VLOOKUP(A59,'[1]تحديث العملاء'!$A:$D,3,0)</f>
        <v>عملاء اجل</v>
      </c>
      <c r="D59" s="6" t="str">
        <f>VLOOKUP(A59,'09-09'!A:L,4,0)</f>
        <v>15 of month</v>
      </c>
      <c r="E59" s="5" t="str">
        <f>VLOOKUP(A59,'[1]تحديث العملاء'!$A:$D,4,0)</f>
        <v>Haddil Haron</v>
      </c>
      <c r="F59" s="20">
        <v>125558.34</v>
      </c>
      <c r="G59" s="20">
        <v>76196.45</v>
      </c>
      <c r="H59" s="20">
        <v>1.25</v>
      </c>
      <c r="I59" s="20">
        <v>0</v>
      </c>
      <c r="J59" s="20">
        <v>12144.61</v>
      </c>
      <c r="K59" s="3"/>
      <c r="L59" s="3">
        <f t="shared" si="1"/>
        <v>213900.64999999997</v>
      </c>
    </row>
    <row r="60" spans="1:12" ht="19.5" x14ac:dyDescent="0.4">
      <c r="A60" s="8" t="s">
        <v>369</v>
      </c>
      <c r="B60" s="5" t="str">
        <f>VLOOKUP(A60,'[1]تحديث العملاء'!$A:$D,2,0)</f>
        <v>Horeca Smart</v>
      </c>
      <c r="C60" s="5" t="str">
        <f>VLOOKUP(A60,'[1]تحديث العملاء'!$A:$D,3,0)</f>
        <v xml:space="preserve">عملاء كاش </v>
      </c>
      <c r="D60" s="6" t="e">
        <f>VLOOKUP(A60,'09-09'!A:L,4,0)</f>
        <v>#N/A</v>
      </c>
      <c r="E60" s="5" t="str">
        <f>VLOOKUP(A60,'[1]تحديث العملاء'!$A:$D,4,0)</f>
        <v>Mona Mohamed</v>
      </c>
      <c r="F60" s="20">
        <v>0</v>
      </c>
      <c r="G60" s="20">
        <v>187800</v>
      </c>
      <c r="H60" s="20">
        <v>-0.25</v>
      </c>
      <c r="I60" s="20">
        <v>0</v>
      </c>
      <c r="J60" s="20">
        <v>0</v>
      </c>
      <c r="K60" s="3"/>
      <c r="L60" s="3">
        <f t="shared" si="1"/>
        <v>187799.75</v>
      </c>
    </row>
    <row r="61" spans="1:12" ht="19.5" x14ac:dyDescent="0.4">
      <c r="A61" s="8" t="s">
        <v>88</v>
      </c>
      <c r="B61" s="5" t="str">
        <f>VLOOKUP(A61,'[1]تحديث العملاء'!$A:$D,2,0)</f>
        <v>MAS</v>
      </c>
      <c r="C61" s="5" t="str">
        <f>VLOOKUP(A61,'[1]تحديث العملاء'!$A:$D,3,0)</f>
        <v>عميل - مورد</v>
      </c>
      <c r="D61" s="6">
        <f>VLOOKUP(A61,'09-09'!A:L,4,0)</f>
        <v>0</v>
      </c>
      <c r="E61" s="5" t="str">
        <f>VLOOKUP(A61,'[1]تحديث العملاء'!$A:$D,4,0)</f>
        <v>Haddil Haron</v>
      </c>
      <c r="F61" s="20">
        <v>0</v>
      </c>
      <c r="G61" s="20">
        <v>0</v>
      </c>
      <c r="H61" s="20">
        <v>280</v>
      </c>
      <c r="I61" s="20">
        <v>0</v>
      </c>
      <c r="J61" s="20">
        <v>179336.25</v>
      </c>
      <c r="K61" s="3"/>
      <c r="L61" s="3">
        <f t="shared" si="1"/>
        <v>179616.25</v>
      </c>
    </row>
    <row r="62" spans="1:12" ht="19.5" x14ac:dyDescent="0.4">
      <c r="A62" s="5" t="s">
        <v>99</v>
      </c>
      <c r="B62" s="5">
        <f>VLOOKUP(A62,'[1]تحديث العملاء'!$A:$D,2,0)</f>
        <v>0</v>
      </c>
      <c r="C62" s="5" t="str">
        <f>VLOOKUP(A62,'[1]تحديث العملاء'!$A:$D,3,0)</f>
        <v>عملاء اجل</v>
      </c>
      <c r="D62" s="6" t="str">
        <f>VLOOKUP(A62,'09-09'!A:L,4,0)</f>
        <v>15 of month</v>
      </c>
      <c r="E62" s="5" t="str">
        <f>VLOOKUP(A62,'[1]تحديث العملاء'!$A:$D,4,0)</f>
        <v>Haddil Haron</v>
      </c>
      <c r="F62" s="20">
        <v>0</v>
      </c>
      <c r="G62" s="20">
        <v>126787.88</v>
      </c>
      <c r="H62" s="20">
        <v>0</v>
      </c>
      <c r="I62" s="20">
        <v>-12535.49</v>
      </c>
      <c r="J62" s="20">
        <v>57323.48</v>
      </c>
      <c r="K62" s="5"/>
      <c r="L62" s="3">
        <f t="shared" si="1"/>
        <v>171575.87</v>
      </c>
    </row>
    <row r="63" spans="1:12" ht="19.5" x14ac:dyDescent="0.4">
      <c r="A63" s="8" t="s">
        <v>96</v>
      </c>
      <c r="B63" s="5" t="str">
        <f>VLOOKUP(A63,'[1]تحديث العملاء'!$A:$D,2,0)</f>
        <v>MAS</v>
      </c>
      <c r="C63" s="5" t="str">
        <f>VLOOKUP(A63,'[1]تحديث العملاء'!$A:$D,3,0)</f>
        <v>متجمد</v>
      </c>
      <c r="D63" s="6" t="str">
        <f>VLOOKUP(A63,'09-09'!A:L,4,0)</f>
        <v>15 يوماً</v>
      </c>
      <c r="E63" s="5" t="str">
        <f>VLOOKUP(A63,'[1]تحديث العملاء'!$A:$D,4,0)</f>
        <v>Mona Mohamed</v>
      </c>
      <c r="F63" s="20">
        <v>0</v>
      </c>
      <c r="G63" s="20">
        <v>0</v>
      </c>
      <c r="H63" s="20">
        <v>0</v>
      </c>
      <c r="I63" s="20">
        <v>0</v>
      </c>
      <c r="J63" s="20">
        <v>161595.95000000001</v>
      </c>
      <c r="K63" s="3"/>
      <c r="L63" s="3">
        <f t="shared" si="1"/>
        <v>161595.95000000001</v>
      </c>
    </row>
    <row r="64" spans="1:12" ht="19.5" x14ac:dyDescent="0.4">
      <c r="A64" s="5" t="s">
        <v>97</v>
      </c>
      <c r="B64" s="5" t="str">
        <f>VLOOKUP(A64,'[1]تحديث العملاء'!$A:$D,2,0)</f>
        <v>Horeca Smart</v>
      </c>
      <c r="C64" s="5" t="str">
        <f>VLOOKUP(A64,'[1]تحديث العملاء'!$A:$D,3,0)</f>
        <v>عملاء اجل</v>
      </c>
      <c r="D64" s="6" t="str">
        <f>VLOOKUP(A64,'09-09'!A:L,4,0)</f>
        <v>45 يوماً</v>
      </c>
      <c r="E64" s="5" t="str">
        <f>VLOOKUP(A64,'[1]تحديث العملاء'!$A:$D,4,0)</f>
        <v>Naden Amgad</v>
      </c>
      <c r="F64" s="20">
        <v>0</v>
      </c>
      <c r="G64" s="20">
        <v>0</v>
      </c>
      <c r="H64" s="20">
        <v>0</v>
      </c>
      <c r="I64" s="20">
        <v>0</v>
      </c>
      <c r="J64" s="20">
        <v>160893.96</v>
      </c>
      <c r="K64" s="5"/>
      <c r="L64" s="3">
        <f t="shared" si="1"/>
        <v>160893.96</v>
      </c>
    </row>
    <row r="65" spans="1:12" ht="19.5" x14ac:dyDescent="0.4">
      <c r="A65" s="8" t="s">
        <v>102</v>
      </c>
      <c r="B65" s="5" t="str">
        <f>VLOOKUP(A65,'[1]تحديث العملاء'!$A:$D,2,0)</f>
        <v>MAS</v>
      </c>
      <c r="C65" s="5" t="str">
        <f>VLOOKUP(A65,'[1]تحديث العملاء'!$A:$D,3,0)</f>
        <v>عملاء اجل</v>
      </c>
      <c r="D65" s="6" t="str">
        <f>VLOOKUP(A65,'09-09'!A:L,4,0)</f>
        <v>30 يوماً</v>
      </c>
      <c r="E65" s="5" t="str">
        <f>VLOOKUP(A65,'[1]تحديث العملاء'!$A:$D,4,0)</f>
        <v>Haddil Haron</v>
      </c>
      <c r="F65" s="20">
        <v>0</v>
      </c>
      <c r="G65" s="20">
        <v>118768</v>
      </c>
      <c r="H65" s="20">
        <v>0</v>
      </c>
      <c r="I65" s="20">
        <v>0</v>
      </c>
      <c r="J65" s="20">
        <v>30545.9</v>
      </c>
      <c r="K65" s="3"/>
      <c r="L65" s="3">
        <f t="shared" si="1"/>
        <v>149313.9</v>
      </c>
    </row>
    <row r="66" spans="1:12" ht="19.5" x14ac:dyDescent="0.4">
      <c r="A66" s="5" t="s">
        <v>70</v>
      </c>
      <c r="B66" s="5" t="str">
        <f>VLOOKUP(A66,'[1]تحديث العملاء'!$A:$D,2,0)</f>
        <v>MAS</v>
      </c>
      <c r="C66" s="5" t="str">
        <f>VLOOKUP(A66,'[1]تحديث العملاء'!$A:$D,3,0)</f>
        <v>عملاء اجل</v>
      </c>
      <c r="D66" s="6" t="str">
        <f>VLOOKUP(A66,'09-09'!A:L,4,0)</f>
        <v>15 of month</v>
      </c>
      <c r="E66" s="5" t="str">
        <f>VLOOKUP(A66,'[1]تحديث العملاء'!$A:$D,4,0)</f>
        <v>Haddil Haron</v>
      </c>
      <c r="F66" s="20">
        <v>0</v>
      </c>
      <c r="G66" s="20">
        <v>-63713.64</v>
      </c>
      <c r="H66" s="20">
        <v>207349.56</v>
      </c>
      <c r="I66" s="20">
        <v>0</v>
      </c>
      <c r="J66" s="20">
        <v>1945.79</v>
      </c>
      <c r="K66" s="5"/>
      <c r="L66" s="3">
        <f t="shared" si="1"/>
        <v>145581.71</v>
      </c>
    </row>
    <row r="67" spans="1:12" ht="19.5" x14ac:dyDescent="0.4">
      <c r="A67" s="8" t="s">
        <v>77</v>
      </c>
      <c r="B67" s="5" t="str">
        <f>VLOOKUP(A67,'[1]تحديث العملاء'!$A:$D,2,0)</f>
        <v>MAS</v>
      </c>
      <c r="C67" s="5" t="str">
        <f>VLOOKUP(A67,'[1]تحديث العملاء'!$A:$D,3,0)</f>
        <v xml:space="preserve">عملاء كاش </v>
      </c>
      <c r="D67" s="6" t="str">
        <f>VLOOKUP(A67,'09-09'!A:L,4,0)</f>
        <v xml:space="preserve">الدفع الفوري </v>
      </c>
      <c r="E67" s="5" t="str">
        <f>VLOOKUP(A67,'[1]تحديث العملاء'!$A:$D,4,0)</f>
        <v>Haddil Haron</v>
      </c>
      <c r="F67" s="20">
        <v>55738.68</v>
      </c>
      <c r="G67" s="20">
        <v>0</v>
      </c>
      <c r="H67" s="20">
        <v>83203.990000000005</v>
      </c>
      <c r="I67" s="20">
        <v>0</v>
      </c>
      <c r="J67" s="20">
        <v>8.6300000000000008</v>
      </c>
      <c r="K67" s="3"/>
      <c r="L67" s="3">
        <f t="shared" si="1"/>
        <v>138951.30000000002</v>
      </c>
    </row>
    <row r="68" spans="1:12" ht="19.5" x14ac:dyDescent="0.4">
      <c r="A68" s="5" t="s">
        <v>119</v>
      </c>
      <c r="B68" s="5" t="str">
        <f>VLOOKUP(A68,'[1]تحديث العملاء'!$A:$D,2,0)</f>
        <v>MAS</v>
      </c>
      <c r="C68" s="5" t="str">
        <f>VLOOKUP(A68,'[1]تحديث العملاء'!$A:$D,3,0)</f>
        <v xml:space="preserve">عملاء كاش </v>
      </c>
      <c r="D68" s="6" t="str">
        <f>VLOOKUP(A68,'09-09'!A:L,4,0)</f>
        <v xml:space="preserve">الدفع الفوري </v>
      </c>
      <c r="E68" s="5" t="str">
        <f>VLOOKUP(A68,'[1]تحديث العملاء'!$A:$D,4,0)</f>
        <v>Haddil Haron</v>
      </c>
      <c r="F68" s="20">
        <v>0</v>
      </c>
      <c r="G68" s="20">
        <v>90292.2</v>
      </c>
      <c r="H68" s="20">
        <v>42595.49</v>
      </c>
      <c r="I68" s="20">
        <v>0</v>
      </c>
      <c r="J68" s="20">
        <v>0</v>
      </c>
      <c r="K68" s="5"/>
      <c r="L68" s="3">
        <f t="shared" si="1"/>
        <v>132887.69</v>
      </c>
    </row>
    <row r="69" spans="1:12" ht="19.5" x14ac:dyDescent="0.4">
      <c r="A69" s="5" t="s">
        <v>131</v>
      </c>
      <c r="B69" s="5" t="str">
        <f>VLOOKUP(A69,'[1]تحديث العملاء'!$A:$D,2,0)</f>
        <v>Horeca Smart</v>
      </c>
      <c r="C69" s="5" t="str">
        <f>VLOOKUP(A69,'[1]تحديث العملاء'!$A:$D,3,0)</f>
        <v>عملاء اجل</v>
      </c>
      <c r="D69" s="6" t="str">
        <f>VLOOKUP(A69,'09-09'!A:L,4,0)</f>
        <v>30 يوماً</v>
      </c>
      <c r="E69" s="5" t="str">
        <f>VLOOKUP(A69,'[1]تحديث العملاء'!$A:$D,4,0)</f>
        <v>Reham Maher</v>
      </c>
      <c r="F69" s="20">
        <v>81834.179999999993</v>
      </c>
      <c r="G69" s="20">
        <v>12350</v>
      </c>
      <c r="H69" s="20">
        <v>0</v>
      </c>
      <c r="I69" s="20">
        <v>0</v>
      </c>
      <c r="J69" s="20">
        <v>38659.54</v>
      </c>
      <c r="K69" s="5"/>
      <c r="L69" s="3">
        <f t="shared" ref="L69:L132" si="2">F69+G69+H69+I69+J69</f>
        <v>132843.72</v>
      </c>
    </row>
    <row r="70" spans="1:12" ht="19.5" x14ac:dyDescent="0.4">
      <c r="A70" s="5" t="s">
        <v>110</v>
      </c>
      <c r="B70" s="5" t="str">
        <f>VLOOKUP(A70,'[1]تحديث العملاء'!$A:$D,2,0)</f>
        <v>Horeca Smart</v>
      </c>
      <c r="C70" s="5" t="str">
        <f>VLOOKUP(A70,'[1]تحديث العملاء'!$A:$D,3,0)</f>
        <v xml:space="preserve">عملاء كاش </v>
      </c>
      <c r="D70" s="6" t="str">
        <f>VLOOKUP(A70,'09-09'!A:L,4,0)</f>
        <v xml:space="preserve">الدفع الفوري </v>
      </c>
      <c r="E70" s="5" t="str">
        <f>VLOOKUP(A70,'[1]تحديث العملاء'!$A:$D,4,0)</f>
        <v>Mona Mohamed</v>
      </c>
      <c r="F70" s="20">
        <v>0</v>
      </c>
      <c r="G70" s="20">
        <v>130300</v>
      </c>
      <c r="H70" s="20">
        <v>0</v>
      </c>
      <c r="I70" s="20">
        <v>0</v>
      </c>
      <c r="J70" s="20">
        <v>0</v>
      </c>
      <c r="K70" s="5"/>
      <c r="L70" s="3">
        <f t="shared" si="2"/>
        <v>130300</v>
      </c>
    </row>
    <row r="71" spans="1:12" ht="19.5" x14ac:dyDescent="0.4">
      <c r="A71" s="8" t="s">
        <v>104</v>
      </c>
      <c r="B71" s="5" t="str">
        <f>VLOOKUP(A71,'[1]تحديث العملاء'!$A:$D,2,0)</f>
        <v>MAS</v>
      </c>
      <c r="C71" s="5" t="str">
        <f>VLOOKUP(A71,'[1]تحديث العملاء'!$A:$D,3,0)</f>
        <v xml:space="preserve">عملاء كاش </v>
      </c>
      <c r="D71" s="6" t="str">
        <f>VLOOKUP(A71,'09-09'!A:L,4,0)</f>
        <v xml:space="preserve">الدفع الفوري </v>
      </c>
      <c r="E71" s="5" t="str">
        <f>VLOOKUP(A71,'[1]تحديث العملاء'!$A:$D,4,0)</f>
        <v>Haddil Haron</v>
      </c>
      <c r="F71" s="20">
        <v>0</v>
      </c>
      <c r="G71" s="20">
        <v>0</v>
      </c>
      <c r="H71" s="20">
        <v>0</v>
      </c>
      <c r="I71" s="20">
        <v>0</v>
      </c>
      <c r="J71" s="20">
        <v>118115.35</v>
      </c>
      <c r="K71" s="3"/>
      <c r="L71" s="3">
        <f t="shared" si="2"/>
        <v>118115.35</v>
      </c>
    </row>
    <row r="72" spans="1:12" ht="19.5" x14ac:dyDescent="0.4">
      <c r="A72" s="8" t="s">
        <v>113</v>
      </c>
      <c r="B72" s="5" t="str">
        <f>VLOOKUP(A72,'[1]تحديث العملاء'!$A:$D,2,0)</f>
        <v>MAS</v>
      </c>
      <c r="C72" s="5" t="str">
        <f>VLOOKUP(A72,'[1]تحديث العملاء'!$A:$D,3,0)</f>
        <v>عملاء اجل</v>
      </c>
      <c r="D72" s="6" t="str">
        <f>VLOOKUP(A72,'09-09'!A:L,4,0)</f>
        <v>15 of month</v>
      </c>
      <c r="E72" s="5" t="str">
        <f>VLOOKUP(A72,'[1]تحديث العملاء'!$A:$D,4,0)</f>
        <v>Haddil Haron</v>
      </c>
      <c r="F72" s="20">
        <v>29524.14</v>
      </c>
      <c r="G72" s="20">
        <v>86999.15</v>
      </c>
      <c r="H72" s="20">
        <v>0</v>
      </c>
      <c r="I72" s="20">
        <v>0</v>
      </c>
      <c r="J72" s="20">
        <v>0.35</v>
      </c>
      <c r="K72" s="3"/>
      <c r="L72" s="3">
        <f t="shared" si="2"/>
        <v>116523.64</v>
      </c>
    </row>
    <row r="73" spans="1:12" ht="19.5" x14ac:dyDescent="0.4">
      <c r="A73" s="5" t="s">
        <v>107</v>
      </c>
      <c r="B73" s="5" t="str">
        <f>VLOOKUP(A73,'[1]تحديث العملاء'!$A:$D,2,0)</f>
        <v>Horeca Smart</v>
      </c>
      <c r="C73" s="5" t="str">
        <f>VLOOKUP(A73,'[1]تحديث العملاء'!$A:$D,3,0)</f>
        <v>عملاء اجل</v>
      </c>
      <c r="D73" s="6" t="str">
        <f>VLOOKUP(A73,'09-09'!A:L,4,0)</f>
        <v>15 يوماً</v>
      </c>
      <c r="E73" s="5" t="str">
        <f>VLOOKUP(A73,'[1]تحديث العملاء'!$A:$D,4,0)</f>
        <v>Mona Mohamed</v>
      </c>
      <c r="F73" s="20">
        <v>0</v>
      </c>
      <c r="G73" s="20">
        <v>96940</v>
      </c>
      <c r="H73" s="20">
        <v>0</v>
      </c>
      <c r="I73" s="20">
        <v>0</v>
      </c>
      <c r="J73" s="20">
        <v>5019.63</v>
      </c>
      <c r="K73" s="5"/>
      <c r="L73" s="3">
        <f t="shared" si="2"/>
        <v>101959.63</v>
      </c>
    </row>
    <row r="74" spans="1:12" ht="19.5" x14ac:dyDescent="0.4">
      <c r="A74" s="8" t="s">
        <v>306</v>
      </c>
      <c r="B74" s="5" t="str">
        <f>VLOOKUP(A74,'[1]تحديث العملاء'!$A:$D,2,0)</f>
        <v>MAS</v>
      </c>
      <c r="C74" s="5" t="str">
        <f>VLOOKUP(A74,'[1]تحديث العملاء'!$A:$D,3,0)</f>
        <v>عميل - مورد</v>
      </c>
      <c r="D74" s="6">
        <f>VLOOKUP(A74,'09-09'!A:L,4,0)</f>
        <v>0</v>
      </c>
      <c r="E74" s="5" t="str">
        <f>VLOOKUP(A74,'[1]تحديث العملاء'!$A:$D,4,0)</f>
        <v>Haddil Haron</v>
      </c>
      <c r="F74" s="20">
        <v>0</v>
      </c>
      <c r="G74" s="20">
        <v>100021</v>
      </c>
      <c r="H74" s="20">
        <v>0</v>
      </c>
      <c r="I74" s="20">
        <v>0</v>
      </c>
      <c r="J74" s="20">
        <v>0</v>
      </c>
      <c r="K74" s="3"/>
      <c r="L74" s="3">
        <f t="shared" si="2"/>
        <v>100021</v>
      </c>
    </row>
    <row r="75" spans="1:12" ht="19.5" x14ac:dyDescent="0.4">
      <c r="A75" s="8" t="s">
        <v>129</v>
      </c>
      <c r="B75" s="5" t="str">
        <f>VLOOKUP(A75,'[1]تحديث العملاء'!$A:$D,2,0)</f>
        <v>MAS</v>
      </c>
      <c r="C75" s="5" t="str">
        <f>VLOOKUP(A75,'[1]تحديث العملاء'!$A:$D,3,0)</f>
        <v xml:space="preserve">عملاء كاش </v>
      </c>
      <c r="D75" s="6" t="str">
        <f>VLOOKUP(A75,'09-09'!A:L,4,0)</f>
        <v xml:space="preserve">الدفع الفوري </v>
      </c>
      <c r="E75" s="5" t="str">
        <f>VLOOKUP(A75,'[1]تحديث العملاء'!$A:$D,4,0)</f>
        <v>Haddil Haron</v>
      </c>
      <c r="F75" s="20">
        <v>0</v>
      </c>
      <c r="G75" s="20">
        <v>41261.65</v>
      </c>
      <c r="H75" s="20">
        <v>52003.13</v>
      </c>
      <c r="I75" s="20">
        <v>0</v>
      </c>
      <c r="J75" s="20">
        <v>0</v>
      </c>
      <c r="K75" s="3"/>
      <c r="L75" s="3">
        <f t="shared" si="2"/>
        <v>93264.78</v>
      </c>
    </row>
    <row r="76" spans="1:12" ht="19.5" x14ac:dyDescent="0.4">
      <c r="A76" s="8" t="s">
        <v>109</v>
      </c>
      <c r="B76" s="5" t="str">
        <f>VLOOKUP(A76,'[1]تحديث العملاء'!$A:$D,2,0)</f>
        <v>MAS</v>
      </c>
      <c r="C76" s="5" t="str">
        <f>VLOOKUP(A76,'[1]تحديث العملاء'!$A:$D,3,0)</f>
        <v>عملاء اجل</v>
      </c>
      <c r="D76" s="6" t="str">
        <f>VLOOKUP(A76,'09-09'!A:L,4,0)</f>
        <v>30 يوماً</v>
      </c>
      <c r="E76" s="5" t="str">
        <f>VLOOKUP(A76,'[1]تحديث العملاء'!$A:$D,4,0)</f>
        <v>Haddil Haron</v>
      </c>
      <c r="F76" s="20">
        <v>0</v>
      </c>
      <c r="G76" s="20">
        <v>0</v>
      </c>
      <c r="H76" s="20">
        <v>0</v>
      </c>
      <c r="I76" s="20">
        <v>0</v>
      </c>
      <c r="J76" s="20">
        <v>90199.4</v>
      </c>
      <c r="K76" s="3"/>
      <c r="L76" s="3">
        <f t="shared" si="2"/>
        <v>90199.4</v>
      </c>
    </row>
    <row r="77" spans="1:12" ht="19.5" x14ac:dyDescent="0.4">
      <c r="A77" s="5" t="s">
        <v>183</v>
      </c>
      <c r="B77" s="5" t="str">
        <f>VLOOKUP(A77,'[1]تحديث العملاء'!$A:$D,2,0)</f>
        <v>Horeca Smart</v>
      </c>
      <c r="C77" s="5" t="str">
        <f>VLOOKUP(A77,'[1]تحديث العملاء'!$A:$D,3,0)</f>
        <v xml:space="preserve">عملاء كاش </v>
      </c>
      <c r="D77" s="6" t="str">
        <f>VLOOKUP(A77,'09-09'!A:L,4,0)</f>
        <v xml:space="preserve">الدفع الفوري </v>
      </c>
      <c r="E77" s="5" t="str">
        <f>VLOOKUP(A77,'[1]تحديث العملاء'!$A:$D,4,0)</f>
        <v>Reham Maher</v>
      </c>
      <c r="F77" s="20">
        <v>0</v>
      </c>
      <c r="G77" s="20">
        <v>84463.55</v>
      </c>
      <c r="H77" s="20">
        <v>0</v>
      </c>
      <c r="I77" s="20">
        <v>341.45</v>
      </c>
      <c r="J77" s="20">
        <v>0</v>
      </c>
      <c r="K77" s="5"/>
      <c r="L77" s="3">
        <f t="shared" si="2"/>
        <v>84805</v>
      </c>
    </row>
    <row r="78" spans="1:12" ht="19.5" x14ac:dyDescent="0.4">
      <c r="A78" s="5" t="s">
        <v>101</v>
      </c>
      <c r="B78" s="5" t="str">
        <f>VLOOKUP(A78,'[1]تحديث العملاء'!$A:$D,2,0)</f>
        <v>Horeca Smart</v>
      </c>
      <c r="C78" s="5" t="str">
        <f>VLOOKUP(A78,'[1]تحديث العملاء'!$A:$D,3,0)</f>
        <v xml:space="preserve">عملاء كاش </v>
      </c>
      <c r="D78" s="6" t="str">
        <f>VLOOKUP(A78,'09-09'!A:L,4,0)</f>
        <v xml:space="preserve">الدفع الفوري </v>
      </c>
      <c r="E78" s="5" t="str">
        <f>VLOOKUP(A78,'[1]تحديث العملاء'!$A:$D,4,0)</f>
        <v>Reham Maher</v>
      </c>
      <c r="F78" s="20">
        <v>0</v>
      </c>
      <c r="G78" s="20">
        <v>-39877.949999999997</v>
      </c>
      <c r="H78" s="20">
        <v>0</v>
      </c>
      <c r="I78" s="20">
        <v>0</v>
      </c>
      <c r="J78" s="20">
        <v>124438.12</v>
      </c>
      <c r="K78" s="5"/>
      <c r="L78" s="3">
        <f t="shared" si="2"/>
        <v>84560.17</v>
      </c>
    </row>
    <row r="79" spans="1:12" ht="19.5" x14ac:dyDescent="0.4">
      <c r="A79" s="8" t="s">
        <v>124</v>
      </c>
      <c r="B79" s="5" t="str">
        <f>VLOOKUP(A79,'[1]تحديث العملاء'!$A:$D,2,0)</f>
        <v>MAS</v>
      </c>
      <c r="C79" s="5" t="str">
        <f>VLOOKUP(A79,'[1]تحديث العملاء'!$A:$D,3,0)</f>
        <v xml:space="preserve">عملاء كاش </v>
      </c>
      <c r="D79" s="6" t="str">
        <f>VLOOKUP(A79,'09-09'!A:L,4,0)</f>
        <v xml:space="preserve">الدفع الفوري </v>
      </c>
      <c r="E79" s="5" t="str">
        <f>VLOOKUP(A79,'[1]تحديث العملاء'!$A:$D,4,0)</f>
        <v>Haddil Haron</v>
      </c>
      <c r="F79" s="20">
        <v>11769.06</v>
      </c>
      <c r="G79" s="20">
        <v>6937</v>
      </c>
      <c r="H79" s="20">
        <v>25092.5</v>
      </c>
      <c r="I79" s="20">
        <v>17342.5</v>
      </c>
      <c r="J79" s="20">
        <v>17342.5</v>
      </c>
      <c r="K79" s="3"/>
      <c r="L79" s="3">
        <f t="shared" si="2"/>
        <v>78483.56</v>
      </c>
    </row>
    <row r="80" spans="1:12" ht="19.5" x14ac:dyDescent="0.4">
      <c r="A80" s="8" t="s">
        <v>84</v>
      </c>
      <c r="B80" s="5" t="str">
        <f>VLOOKUP(A80,'[1]تحديث العملاء'!$A:$D,2,0)</f>
        <v>MAS</v>
      </c>
      <c r="C80" s="5" t="str">
        <f>VLOOKUP(A80,'[1]تحديث العملاء'!$A:$D,3,0)</f>
        <v xml:space="preserve">عملاء كاش </v>
      </c>
      <c r="D80" s="6" t="str">
        <f>VLOOKUP(A80,'09-09'!A:L,4,0)</f>
        <v xml:space="preserve">الدفع الفوري </v>
      </c>
      <c r="E80" s="5" t="str">
        <f>VLOOKUP(A80,'[1]تحديث العملاء'!$A:$D,4,0)</f>
        <v>Mona Mohamed</v>
      </c>
      <c r="F80" s="20">
        <v>0</v>
      </c>
      <c r="G80" s="20">
        <v>0</v>
      </c>
      <c r="H80" s="20">
        <v>74827.8</v>
      </c>
      <c r="I80" s="20">
        <v>0</v>
      </c>
      <c r="J80" s="20">
        <v>0</v>
      </c>
      <c r="K80" s="3"/>
      <c r="L80" s="3">
        <f t="shared" si="2"/>
        <v>74827.8</v>
      </c>
    </row>
    <row r="81" spans="1:12" ht="19.5" x14ac:dyDescent="0.4">
      <c r="A81" s="8" t="s">
        <v>117</v>
      </c>
      <c r="B81" s="5" t="str">
        <f>VLOOKUP(A81,'[1]تحديث العملاء'!$A:$D,2,0)</f>
        <v>MAS</v>
      </c>
      <c r="C81" s="5" t="str">
        <f>VLOOKUP(A81,'[1]تحديث العملاء'!$A:$D,3,0)</f>
        <v>عملاء اجل</v>
      </c>
      <c r="D81" s="6">
        <f>VLOOKUP(A81,'09-09'!A:L,4,0)</f>
        <v>0</v>
      </c>
      <c r="E81" s="5" t="str">
        <f>VLOOKUP(A81,'[1]تحديث العملاء'!$A:$D,4,0)</f>
        <v>Haddil Haron</v>
      </c>
      <c r="F81" s="20">
        <v>0</v>
      </c>
      <c r="G81" s="20">
        <v>73900</v>
      </c>
      <c r="H81" s="20">
        <v>0</v>
      </c>
      <c r="I81" s="20">
        <v>0</v>
      </c>
      <c r="J81" s="20">
        <v>0</v>
      </c>
      <c r="K81" s="3"/>
      <c r="L81" s="3">
        <f t="shared" si="2"/>
        <v>73900</v>
      </c>
    </row>
    <row r="82" spans="1:12" ht="19.5" x14ac:dyDescent="0.4">
      <c r="A82" s="5" t="s">
        <v>118</v>
      </c>
      <c r="B82" s="5" t="str">
        <f>VLOOKUP(A82,'[1]تحديث العملاء'!$A:$D,2,0)</f>
        <v>MAS</v>
      </c>
      <c r="C82" s="5" t="str">
        <f>VLOOKUP(A82,'[1]تحديث العملاء'!$A:$D,3,0)</f>
        <v xml:space="preserve">عملاء كاش </v>
      </c>
      <c r="D82" s="6" t="str">
        <f>VLOOKUP(A82,'09-09'!A:L,4,0)</f>
        <v xml:space="preserve">الدفع الفوري </v>
      </c>
      <c r="E82" s="5" t="str">
        <f>VLOOKUP(A82,'[1]تحديث العملاء'!$A:$D,4,0)</f>
        <v>Haddil Haron</v>
      </c>
      <c r="F82" s="20">
        <v>0</v>
      </c>
      <c r="G82" s="20">
        <v>0</v>
      </c>
      <c r="H82" s="20">
        <v>49975</v>
      </c>
      <c r="I82" s="20">
        <v>18995</v>
      </c>
      <c r="J82" s="20">
        <v>0</v>
      </c>
      <c r="K82" s="5"/>
      <c r="L82" s="3">
        <f t="shared" si="2"/>
        <v>68970</v>
      </c>
    </row>
    <row r="83" spans="1:12" ht="19.5" x14ac:dyDescent="0.4">
      <c r="A83" s="8" t="s">
        <v>112</v>
      </c>
      <c r="B83" s="5">
        <f>VLOOKUP(A83,'[1]تحديث العملاء'!$A:$D,2,0)</f>
        <v>0</v>
      </c>
      <c r="C83" s="5" t="str">
        <f>VLOOKUP(A83,'[1]تحديث العملاء'!$A:$D,3,0)</f>
        <v xml:space="preserve">عملاء كاش </v>
      </c>
      <c r="D83" s="6" t="str">
        <f>VLOOKUP(A83,'09-09'!A:L,4,0)</f>
        <v xml:space="preserve">الدفع الفوري </v>
      </c>
      <c r="E83" s="5" t="str">
        <f>VLOOKUP(A83,'[1]تحديث العملاء'!$A:$D,4,0)</f>
        <v>Haddil Haron</v>
      </c>
      <c r="F83" s="20">
        <v>0</v>
      </c>
      <c r="G83" s="20">
        <v>256232</v>
      </c>
      <c r="H83" s="20">
        <v>-187917.9</v>
      </c>
      <c r="I83" s="20">
        <v>0</v>
      </c>
      <c r="J83" s="20">
        <v>0</v>
      </c>
      <c r="K83" s="3"/>
      <c r="L83" s="3">
        <f t="shared" si="2"/>
        <v>68314.100000000006</v>
      </c>
    </row>
    <row r="84" spans="1:12" ht="19.5" x14ac:dyDescent="0.4">
      <c r="A84" s="5" t="s">
        <v>120</v>
      </c>
      <c r="B84" s="5" t="str">
        <f>VLOOKUP(A84,'[1]تحديث العملاء'!$A:$D,2,0)</f>
        <v>MAS</v>
      </c>
      <c r="C84" s="5" t="str">
        <f>VLOOKUP(A84,'[1]تحديث العملاء'!$A:$D,3,0)</f>
        <v>عملاء اجل</v>
      </c>
      <c r="D84" s="6" t="e">
        <f>VLOOKUP(A84,'09-09'!A:L,4,0)</f>
        <v>#N/A</v>
      </c>
      <c r="E84" s="5" t="str">
        <f>VLOOKUP(A84,'[1]تحديث العملاء'!$A:$D,4,0)</f>
        <v>Haddil Haron</v>
      </c>
      <c r="F84" s="20">
        <v>64658.25</v>
      </c>
      <c r="G84" s="20">
        <v>0.25</v>
      </c>
      <c r="H84" s="20">
        <v>0</v>
      </c>
      <c r="I84" s="20">
        <v>0.5</v>
      </c>
      <c r="J84" s="20">
        <v>17.5</v>
      </c>
      <c r="K84" s="5"/>
      <c r="L84" s="3">
        <f t="shared" si="2"/>
        <v>64676.5</v>
      </c>
    </row>
    <row r="85" spans="1:12" ht="19.5" x14ac:dyDescent="0.4">
      <c r="A85" s="5" t="s">
        <v>121</v>
      </c>
      <c r="B85" s="5" t="str">
        <f>VLOOKUP(A85,'[1]تحديث العملاء'!$A:$D,2,0)</f>
        <v>Horeca Smart</v>
      </c>
      <c r="C85" s="5" t="str">
        <f>VLOOKUP(A85,'[1]تحديث العملاء'!$A:$D,3,0)</f>
        <v xml:space="preserve">عملاء كاش </v>
      </c>
      <c r="D85" s="6" t="str">
        <f>VLOOKUP(A85,'09-09'!A:L,4,0)</f>
        <v xml:space="preserve">الدفع الفوري </v>
      </c>
      <c r="E85" s="5" t="str">
        <f>VLOOKUP(A85,'[1]تحديث العملاء'!$A:$D,4,0)</f>
        <v>Mona Mohamed</v>
      </c>
      <c r="F85" s="20">
        <v>0</v>
      </c>
      <c r="G85" s="20">
        <v>0</v>
      </c>
      <c r="H85" s="20">
        <v>0</v>
      </c>
      <c r="I85" s="20">
        <v>0</v>
      </c>
      <c r="J85" s="20">
        <v>64142.23</v>
      </c>
      <c r="K85" s="5"/>
      <c r="L85" s="3">
        <f t="shared" si="2"/>
        <v>64142.23</v>
      </c>
    </row>
    <row r="86" spans="1:12" ht="19.5" x14ac:dyDescent="0.4">
      <c r="A86" s="8" t="s">
        <v>370</v>
      </c>
      <c r="B86" s="5" t="e">
        <f>VLOOKUP(A86,'[1]تحديث العملاء'!$A:$D,2,0)</f>
        <v>#N/A</v>
      </c>
      <c r="C86" s="5" t="e">
        <f>VLOOKUP(A86,'[1]تحديث العملاء'!$A:$D,3,0)</f>
        <v>#N/A</v>
      </c>
      <c r="D86" s="6" t="e">
        <f>VLOOKUP(A86,'09-09'!A:L,4,0)</f>
        <v>#N/A</v>
      </c>
      <c r="E86" s="5" t="e">
        <f>VLOOKUP(A86,'[1]تحديث العملاء'!$A:$D,4,0)</f>
        <v>#N/A</v>
      </c>
      <c r="F86" s="20">
        <v>0</v>
      </c>
      <c r="G86" s="20">
        <v>62160</v>
      </c>
      <c r="H86" s="20">
        <v>0</v>
      </c>
      <c r="I86" s="20">
        <v>0</v>
      </c>
      <c r="J86" s="20">
        <v>0</v>
      </c>
      <c r="K86" s="3"/>
      <c r="L86" s="3">
        <f t="shared" si="2"/>
        <v>62160</v>
      </c>
    </row>
    <row r="87" spans="1:12" ht="19.5" x14ac:dyDescent="0.4">
      <c r="A87" s="8" t="s">
        <v>123</v>
      </c>
      <c r="B87" s="5" t="str">
        <f>VLOOKUP(A87,'[1]تحديث العملاء'!$A:$D,2,0)</f>
        <v>MAS</v>
      </c>
      <c r="C87" s="5" t="str">
        <f>VLOOKUP(A87,'[1]تحديث العملاء'!$A:$D,3,0)</f>
        <v>عملاء اجل</v>
      </c>
      <c r="D87" s="6">
        <f>VLOOKUP(A87,'09-09'!A:L,4,0)</f>
        <v>0</v>
      </c>
      <c r="E87" s="5" t="str">
        <f>VLOOKUP(A87,'[1]تحديث العملاء'!$A:$D,4,0)</f>
        <v>Haddil Haron</v>
      </c>
      <c r="F87" s="20">
        <v>45744.72</v>
      </c>
      <c r="G87" s="20">
        <v>14383.6</v>
      </c>
      <c r="H87" s="20">
        <v>0</v>
      </c>
      <c r="I87" s="20">
        <v>0</v>
      </c>
      <c r="J87" s="20">
        <v>0</v>
      </c>
      <c r="K87" s="3"/>
      <c r="L87" s="3">
        <f t="shared" si="2"/>
        <v>60128.32</v>
      </c>
    </row>
    <row r="88" spans="1:12" ht="19.5" x14ac:dyDescent="0.4">
      <c r="A88" s="8" t="s">
        <v>130</v>
      </c>
      <c r="B88" s="5" t="str">
        <f>VLOOKUP(A88,'[1]تحديث العملاء'!$A:$D,2,0)</f>
        <v>Horeca Smart</v>
      </c>
      <c r="C88" s="5" t="str">
        <f>VLOOKUP(A88,'[1]تحديث العملاء'!$A:$D,3,0)</f>
        <v xml:space="preserve">عملاء كاش </v>
      </c>
      <c r="D88" s="6" t="str">
        <f>VLOOKUP(A88,'09-09'!A:L,4,0)</f>
        <v xml:space="preserve">الدفع الفوري </v>
      </c>
      <c r="E88" s="5" t="str">
        <f>VLOOKUP(A88,'[1]تحديث العملاء'!$A:$D,4,0)</f>
        <v>Lames Magdy</v>
      </c>
      <c r="F88" s="20">
        <v>0</v>
      </c>
      <c r="G88" s="20">
        <v>56310</v>
      </c>
      <c r="H88" s="20">
        <v>0</v>
      </c>
      <c r="I88" s="20">
        <v>0</v>
      </c>
      <c r="J88" s="20">
        <v>0</v>
      </c>
      <c r="K88" s="3"/>
      <c r="L88" s="3">
        <f t="shared" si="2"/>
        <v>56310</v>
      </c>
    </row>
    <row r="89" spans="1:12" ht="19.5" x14ac:dyDescent="0.4">
      <c r="A89" s="8" t="s">
        <v>128</v>
      </c>
      <c r="B89" s="5">
        <f>VLOOKUP(A89,'[1]تحديث العملاء'!$A:$D,2,0)</f>
        <v>0</v>
      </c>
      <c r="C89" s="5" t="str">
        <f>VLOOKUP(A89,'[1]تحديث العملاء'!$A:$D,3,0)</f>
        <v xml:space="preserve">عملاء كاش </v>
      </c>
      <c r="D89" s="6" t="str">
        <f>VLOOKUP(A89,'09-09'!A:L,4,0)</f>
        <v xml:space="preserve">الدفع الفوري </v>
      </c>
      <c r="E89" s="5">
        <f>VLOOKUP(A89,'[1]تحديث العملاء'!$A:$D,4,0)</f>
        <v>0</v>
      </c>
      <c r="F89" s="20">
        <v>0</v>
      </c>
      <c r="G89" s="20">
        <v>0</v>
      </c>
      <c r="H89" s="20">
        <v>0</v>
      </c>
      <c r="I89" s="20">
        <v>0</v>
      </c>
      <c r="J89" s="20">
        <v>55000</v>
      </c>
      <c r="K89" s="3"/>
      <c r="L89" s="3">
        <f t="shared" si="2"/>
        <v>55000</v>
      </c>
    </row>
    <row r="90" spans="1:12" ht="19.5" x14ac:dyDescent="0.4">
      <c r="A90" s="5" t="s">
        <v>106</v>
      </c>
      <c r="B90" s="5" t="str">
        <f>VLOOKUP(A90,'[1]تحديث العملاء'!$A:$D,2,0)</f>
        <v>Horeca Smart</v>
      </c>
      <c r="C90" s="5" t="str">
        <f>VLOOKUP(A90,'[1]تحديث العملاء'!$A:$D,3,0)</f>
        <v>عملاء اجل</v>
      </c>
      <c r="D90" s="6" t="str">
        <f>VLOOKUP(A90,'09-09'!A:L,4,0)</f>
        <v>30 يوماً</v>
      </c>
      <c r="E90" s="5" t="str">
        <f>VLOOKUP(A90,'[1]تحديث العملاء'!$A:$D,4,0)</f>
        <v>Naden Amgad</v>
      </c>
      <c r="F90" s="20">
        <v>48796.23</v>
      </c>
      <c r="G90" s="20">
        <v>15449.28</v>
      </c>
      <c r="H90" s="20">
        <v>0</v>
      </c>
      <c r="I90" s="20">
        <v>-19433.28</v>
      </c>
      <c r="J90" s="20">
        <v>8894.7199999999993</v>
      </c>
      <c r="K90" s="5"/>
      <c r="L90" s="3">
        <f t="shared" si="2"/>
        <v>53706.950000000004</v>
      </c>
    </row>
    <row r="91" spans="1:12" ht="19.5" x14ac:dyDescent="0.4">
      <c r="A91" s="8" t="s">
        <v>133</v>
      </c>
      <c r="B91" s="5" t="str">
        <f>VLOOKUP(A91,'[1]تحديث العملاء'!$A:$D,2,0)</f>
        <v>MAS</v>
      </c>
      <c r="C91" s="5" t="str">
        <f>VLOOKUP(A91,'[1]تحديث العملاء'!$A:$D,3,0)</f>
        <v xml:space="preserve">عملاء كاش </v>
      </c>
      <c r="D91" s="6" t="str">
        <f>VLOOKUP(A91,'09-09'!A:L,4,0)</f>
        <v xml:space="preserve">الدفع الفوري </v>
      </c>
      <c r="E91" s="5" t="str">
        <f>VLOOKUP(A91,'[1]تحديث العملاء'!$A:$D,4,0)</f>
        <v>Haddil Haron</v>
      </c>
      <c r="F91" s="20">
        <v>0</v>
      </c>
      <c r="G91" s="20">
        <v>0</v>
      </c>
      <c r="H91" s="20">
        <v>0</v>
      </c>
      <c r="I91" s="20">
        <v>150</v>
      </c>
      <c r="J91" s="20">
        <v>50000</v>
      </c>
      <c r="K91" s="3"/>
      <c r="L91" s="3">
        <f t="shared" si="2"/>
        <v>50150</v>
      </c>
    </row>
    <row r="92" spans="1:12" ht="19.5" x14ac:dyDescent="0.4">
      <c r="A92" s="8" t="s">
        <v>125</v>
      </c>
      <c r="B92" s="5" t="str">
        <f>VLOOKUP(A92,'[1]تحديث العملاء'!$A:$D,2,0)</f>
        <v>Horeca Smart</v>
      </c>
      <c r="C92" s="5" t="str">
        <f>VLOOKUP(A92,'[1]تحديث العملاء'!$A:$D,3,0)</f>
        <v>عملاء اجل</v>
      </c>
      <c r="D92" s="6" t="str">
        <f>VLOOKUP(A92,'09-09'!A:L,4,0)</f>
        <v>21 يوماً</v>
      </c>
      <c r="E92" s="5" t="str">
        <f>VLOOKUP(A92,'[1]تحديث العملاء'!$A:$D,4,0)</f>
        <v>Lames Magdy</v>
      </c>
      <c r="F92" s="20">
        <v>12638</v>
      </c>
      <c r="G92" s="20">
        <v>8452.66</v>
      </c>
      <c r="H92" s="20">
        <v>27686</v>
      </c>
      <c r="I92" s="20">
        <v>0.45</v>
      </c>
      <c r="J92" s="20">
        <v>0</v>
      </c>
      <c r="K92" s="3"/>
      <c r="L92" s="3">
        <f t="shared" si="2"/>
        <v>48777.11</v>
      </c>
    </row>
    <row r="93" spans="1:12" ht="19.5" x14ac:dyDescent="0.4">
      <c r="A93" s="5" t="s">
        <v>139</v>
      </c>
      <c r="B93" s="5" t="str">
        <f>VLOOKUP(A93,'[1]تحديث العملاء'!$A:$D,2,0)</f>
        <v>MAS</v>
      </c>
      <c r="C93" s="5" t="str">
        <f>VLOOKUP(A93,'[1]تحديث العملاء'!$A:$D,3,0)</f>
        <v xml:space="preserve">عملاء كاش </v>
      </c>
      <c r="D93" s="6" t="str">
        <f>VLOOKUP(A93,'09-09'!A:L,4,0)</f>
        <v xml:space="preserve">الدفع الفوري </v>
      </c>
      <c r="E93" s="5" t="str">
        <f>VLOOKUP(A93,'[1]تحديث العملاء'!$A:$D,4,0)</f>
        <v>Haddil Haron</v>
      </c>
      <c r="F93" s="20">
        <v>0</v>
      </c>
      <c r="G93" s="20">
        <v>7880</v>
      </c>
      <c r="H93" s="20">
        <v>19700</v>
      </c>
      <c r="I93" s="20">
        <v>0</v>
      </c>
      <c r="J93" s="20">
        <v>19700</v>
      </c>
      <c r="K93" s="5"/>
      <c r="L93" s="3">
        <f t="shared" si="2"/>
        <v>47280</v>
      </c>
    </row>
    <row r="94" spans="1:12" ht="19.5" x14ac:dyDescent="0.4">
      <c r="A94" s="5" t="s">
        <v>116</v>
      </c>
      <c r="B94" s="5">
        <f>VLOOKUP(A94,'[1]تحديث العملاء'!$A:$D,2,0)</f>
        <v>0</v>
      </c>
      <c r="C94" s="5" t="str">
        <f>VLOOKUP(A94,'[1]تحديث العملاء'!$A:$D,3,0)</f>
        <v xml:space="preserve">عملاء كاش </v>
      </c>
      <c r="D94" s="6" t="str">
        <f>VLOOKUP(A94,'09-09'!A:L,4,0)</f>
        <v xml:space="preserve">الدفع الفوري </v>
      </c>
      <c r="E94" s="5" t="str">
        <f>VLOOKUP(A94,'[1]تحديث العملاء'!$A:$D,4,0)</f>
        <v>Haddil Haron</v>
      </c>
      <c r="F94" s="20">
        <v>0</v>
      </c>
      <c r="G94" s="20">
        <v>0</v>
      </c>
      <c r="H94" s="20">
        <v>-22799</v>
      </c>
      <c r="I94" s="20">
        <v>49495</v>
      </c>
      <c r="J94" s="20">
        <v>18544.04</v>
      </c>
      <c r="K94" s="5"/>
      <c r="L94" s="3">
        <f t="shared" si="2"/>
        <v>45240.04</v>
      </c>
    </row>
    <row r="95" spans="1:12" ht="19.5" x14ac:dyDescent="0.4">
      <c r="A95" s="5" t="s">
        <v>136</v>
      </c>
      <c r="B95" s="5" t="str">
        <f>VLOOKUP(A95,'[1]تحديث العملاء'!$A:$D,2,0)</f>
        <v>MAS</v>
      </c>
      <c r="C95" s="5" t="str">
        <f>VLOOKUP(A95,'[1]تحديث العملاء'!$A:$D,3,0)</f>
        <v>عميل - مورد</v>
      </c>
      <c r="D95" s="6" t="str">
        <f>VLOOKUP(A95,'09-09'!A:L,4,0)</f>
        <v>5 Days</v>
      </c>
      <c r="E95" s="5" t="str">
        <f>VLOOKUP(A95,'[1]تحديث العملاء'!$A:$D,4,0)</f>
        <v>Haddil Haron</v>
      </c>
      <c r="F95" s="20">
        <v>0</v>
      </c>
      <c r="G95" s="20">
        <v>0</v>
      </c>
      <c r="H95" s="20">
        <v>0</v>
      </c>
      <c r="I95" s="20">
        <v>0</v>
      </c>
      <c r="J95" s="20">
        <v>43564.56</v>
      </c>
      <c r="K95" s="5"/>
      <c r="L95" s="3">
        <f t="shared" si="2"/>
        <v>43564.56</v>
      </c>
    </row>
    <row r="96" spans="1:12" ht="19.5" x14ac:dyDescent="0.4">
      <c r="A96" s="8" t="s">
        <v>122</v>
      </c>
      <c r="B96" s="5" t="str">
        <f>VLOOKUP(A96,'[1]تحديث العملاء'!$A:$D,2,0)</f>
        <v>Horeca Smart</v>
      </c>
      <c r="C96" s="5" t="str">
        <f>VLOOKUP(A96,'[1]تحديث العملاء'!$A:$D,3,0)</f>
        <v xml:space="preserve">عملاء كاش </v>
      </c>
      <c r="D96" s="6" t="e">
        <f>VLOOKUP(A96,'09-09'!A:L,4,0)</f>
        <v>#N/A</v>
      </c>
      <c r="E96" s="5" t="str">
        <f>VLOOKUP(A96,'[1]تحديث العملاء'!$A:$D,4,0)</f>
        <v>Naden Amgad</v>
      </c>
      <c r="F96" s="20">
        <v>0</v>
      </c>
      <c r="G96" s="20">
        <v>-23633.08</v>
      </c>
      <c r="H96" s="20">
        <v>61519.87</v>
      </c>
      <c r="I96" s="20">
        <v>0</v>
      </c>
      <c r="J96" s="20">
        <v>0</v>
      </c>
      <c r="K96" s="3"/>
      <c r="L96" s="3">
        <f t="shared" si="2"/>
        <v>37886.79</v>
      </c>
    </row>
    <row r="97" spans="1:12" ht="19.5" x14ac:dyDescent="0.4">
      <c r="A97" s="8" t="s">
        <v>293</v>
      </c>
      <c r="B97" s="5" t="str">
        <f>VLOOKUP(A97,'[1]تحديث العملاء'!$A:$D,2,0)</f>
        <v>Horeca Smart</v>
      </c>
      <c r="C97" s="5" t="str">
        <f>VLOOKUP(A97,'[1]تحديث العملاء'!$A:$D,3,0)</f>
        <v xml:space="preserve">عملاء كاش </v>
      </c>
      <c r="D97" s="6" t="str">
        <f>VLOOKUP(A97,'09-09'!A:L,4,0)</f>
        <v xml:space="preserve">الدفع الفوري </v>
      </c>
      <c r="E97" s="5" t="str">
        <f>VLOOKUP(A97,'[1]تحديث العملاء'!$A:$D,4,0)</f>
        <v>Mona Mohamed</v>
      </c>
      <c r="F97" s="20">
        <v>0</v>
      </c>
      <c r="G97" s="20">
        <v>36398.1</v>
      </c>
      <c r="H97" s="20">
        <v>-31</v>
      </c>
      <c r="I97" s="20">
        <v>-314</v>
      </c>
      <c r="J97" s="20">
        <v>-1950</v>
      </c>
      <c r="K97" s="3"/>
      <c r="L97" s="3">
        <f t="shared" si="2"/>
        <v>34103.1</v>
      </c>
    </row>
    <row r="98" spans="1:12" ht="19.5" x14ac:dyDescent="0.4">
      <c r="A98" s="8" t="s">
        <v>145</v>
      </c>
      <c r="B98" s="5" t="str">
        <f>VLOOKUP(A98,'[1]تحديث العملاء'!$A:$D,2,0)</f>
        <v>MAS</v>
      </c>
      <c r="C98" s="5" t="str">
        <f>VLOOKUP(A98,'[1]تحديث العملاء'!$A:$D,3,0)</f>
        <v>عميل - مورد</v>
      </c>
      <c r="D98" s="6">
        <f>VLOOKUP(A98,'09-09'!A:L,4,0)</f>
        <v>0</v>
      </c>
      <c r="E98" s="5" t="str">
        <f>VLOOKUP(A98,'[1]تحديث العملاء'!$A:$D,4,0)</f>
        <v>Haddil Haron</v>
      </c>
      <c r="F98" s="20">
        <v>0</v>
      </c>
      <c r="G98" s="20">
        <v>0</v>
      </c>
      <c r="H98" s="20">
        <v>33239.82</v>
      </c>
      <c r="I98" s="20">
        <v>0</v>
      </c>
      <c r="J98" s="20">
        <v>0</v>
      </c>
      <c r="K98" s="3"/>
      <c r="L98" s="3">
        <f t="shared" si="2"/>
        <v>33239.82</v>
      </c>
    </row>
    <row r="99" spans="1:12" ht="19.5" x14ac:dyDescent="0.4">
      <c r="A99" s="8" t="s">
        <v>108</v>
      </c>
      <c r="B99" s="5" t="str">
        <f>VLOOKUP(A99,'[1]تحديث العملاء'!$A:$D,2,0)</f>
        <v>MAS</v>
      </c>
      <c r="C99" s="5" t="str">
        <f>VLOOKUP(A99,'[1]تحديث العملاء'!$A:$D,3,0)</f>
        <v xml:space="preserve">عملاء كاش </v>
      </c>
      <c r="D99" s="6" t="str">
        <f>VLOOKUP(A99,'09-09'!A:L,4,0)</f>
        <v xml:space="preserve">الدفع الفوري </v>
      </c>
      <c r="E99" s="5" t="str">
        <f>VLOOKUP(A99,'[1]تحديث العملاء'!$A:$D,4,0)</f>
        <v>Haddil Haron</v>
      </c>
      <c r="F99" s="20">
        <v>68285.55</v>
      </c>
      <c r="G99" s="20">
        <v>-36862.83</v>
      </c>
      <c r="H99" s="20">
        <v>0</v>
      </c>
      <c r="I99" s="20">
        <v>0</v>
      </c>
      <c r="J99" s="20">
        <v>0</v>
      </c>
      <c r="K99" s="3"/>
      <c r="L99" s="3">
        <f t="shared" si="2"/>
        <v>31422.720000000001</v>
      </c>
    </row>
    <row r="100" spans="1:12" ht="19.5" x14ac:dyDescent="0.4">
      <c r="A100" s="5" t="s">
        <v>155</v>
      </c>
      <c r="B100" s="5" t="str">
        <f>VLOOKUP(A100,'[1]تحديث العملاء'!$A:$D,2,0)</f>
        <v>Horeca Smart</v>
      </c>
      <c r="C100" s="5" t="str">
        <f>VLOOKUP(A100,'[1]تحديث العملاء'!$A:$D,3,0)</f>
        <v xml:space="preserve">عملاء كاش </v>
      </c>
      <c r="D100" s="6" t="str">
        <f>VLOOKUP(A100,'09-09'!A:L,4,0)</f>
        <v xml:space="preserve">الدفع الفوري </v>
      </c>
      <c r="E100" s="5" t="str">
        <f>VLOOKUP(A100,'[1]تحديث العملاء'!$A:$D,4,0)</f>
        <v>Lames Magdy</v>
      </c>
      <c r="F100" s="20">
        <v>0</v>
      </c>
      <c r="G100" s="20">
        <v>19368</v>
      </c>
      <c r="H100" s="20">
        <v>11992</v>
      </c>
      <c r="I100" s="20">
        <v>0</v>
      </c>
      <c r="J100" s="20">
        <v>0</v>
      </c>
      <c r="K100" s="5"/>
      <c r="L100" s="3">
        <f t="shared" si="2"/>
        <v>31360</v>
      </c>
    </row>
    <row r="101" spans="1:12" ht="19.5" x14ac:dyDescent="0.4">
      <c r="A101" s="8" t="s">
        <v>267</v>
      </c>
      <c r="B101" s="5" t="str">
        <f>VLOOKUP(A101,'[1]تحديث العملاء'!$A:$D,2,0)</f>
        <v>Horeca Smart</v>
      </c>
      <c r="C101" s="5" t="str">
        <f>VLOOKUP(A101,'[1]تحديث العملاء'!$A:$D,3,0)</f>
        <v xml:space="preserve">عملاء كاش </v>
      </c>
      <c r="D101" s="6" t="e">
        <f>VLOOKUP(A101,'09-09'!A:L,4,0)</f>
        <v>#N/A</v>
      </c>
      <c r="E101" s="5" t="str">
        <f>VLOOKUP(A101,'[1]تحديث العملاء'!$A:$D,4,0)</f>
        <v>Mona Mohamed</v>
      </c>
      <c r="F101" s="20">
        <v>0</v>
      </c>
      <c r="G101" s="20">
        <v>27074.25</v>
      </c>
      <c r="H101" s="20">
        <v>0</v>
      </c>
      <c r="I101" s="20">
        <v>0</v>
      </c>
      <c r="J101" s="20">
        <v>3825</v>
      </c>
      <c r="K101" s="3"/>
      <c r="L101" s="3">
        <f t="shared" si="2"/>
        <v>30899.25</v>
      </c>
    </row>
    <row r="102" spans="1:12" ht="19.5" x14ac:dyDescent="0.4">
      <c r="A102" s="8" t="s">
        <v>114</v>
      </c>
      <c r="B102" s="5" t="str">
        <f>VLOOKUP(A102,'[1]تحديث العملاء'!$A:$D,2,0)</f>
        <v>Horeca Smart</v>
      </c>
      <c r="C102" s="5" t="str">
        <f>VLOOKUP(A102,'[1]تحديث العملاء'!$A:$D,3,0)</f>
        <v xml:space="preserve">عملاء كاش </v>
      </c>
      <c r="D102" s="6" t="str">
        <f>VLOOKUP(A102,'09-09'!A:L,4,0)</f>
        <v xml:space="preserve">الدفع الفوري </v>
      </c>
      <c r="E102" s="5" t="str">
        <f>VLOOKUP(A102,'[1]تحديث العملاء'!$A:$D,4,0)</f>
        <v>Mona Mohamed</v>
      </c>
      <c r="F102" s="20">
        <v>30500</v>
      </c>
      <c r="G102" s="20">
        <v>-74.7</v>
      </c>
      <c r="H102" s="20">
        <v>0</v>
      </c>
      <c r="I102" s="20">
        <v>74.3</v>
      </c>
      <c r="J102" s="20">
        <v>0</v>
      </c>
      <c r="K102" s="3"/>
      <c r="L102" s="3">
        <f t="shared" si="2"/>
        <v>30499.599999999999</v>
      </c>
    </row>
    <row r="103" spans="1:12" ht="19.5" x14ac:dyDescent="0.4">
      <c r="A103" s="8" t="s">
        <v>146</v>
      </c>
      <c r="B103" s="5">
        <f>VLOOKUP(A103,'[1]تحديث العملاء'!$A:$D,2,0)</f>
        <v>0</v>
      </c>
      <c r="C103" s="5" t="str">
        <f>VLOOKUP(A103,'[1]تحديث العملاء'!$A:$D,3,0)</f>
        <v xml:space="preserve">عملاء كاش </v>
      </c>
      <c r="D103" s="6" t="str">
        <f>VLOOKUP(A103,'09-09'!A:L,4,0)</f>
        <v xml:space="preserve">الدفع الفوري </v>
      </c>
      <c r="E103" s="5" t="str">
        <f>VLOOKUP(A103,'[1]تحديث العملاء'!$A:$D,4,0)</f>
        <v>Reham Maher</v>
      </c>
      <c r="F103" s="20">
        <v>0</v>
      </c>
      <c r="G103" s="20">
        <v>0</v>
      </c>
      <c r="H103" s="20">
        <v>-40000</v>
      </c>
      <c r="I103" s="20">
        <v>-9984.43</v>
      </c>
      <c r="J103" s="20">
        <v>80060.69</v>
      </c>
      <c r="K103" s="3"/>
      <c r="L103" s="3">
        <f t="shared" si="2"/>
        <v>30076.260000000002</v>
      </c>
    </row>
    <row r="104" spans="1:12" ht="19.5" x14ac:dyDescent="0.4">
      <c r="A104" s="8" t="s">
        <v>323</v>
      </c>
      <c r="B104" s="5" t="str">
        <f>VLOOKUP(A104,'[1]تحديث العملاء'!$A:$D,2,0)</f>
        <v>Horeca Smart</v>
      </c>
      <c r="C104" s="5" t="str">
        <f>VLOOKUP(A104,'[1]تحديث العملاء'!$A:$D,3,0)</f>
        <v xml:space="preserve">عملاء كاش </v>
      </c>
      <c r="D104" s="6" t="str">
        <f>VLOOKUP(A104,'09-09'!A:L,4,0)</f>
        <v xml:space="preserve">الدفع الفوري </v>
      </c>
      <c r="E104" s="5" t="str">
        <f>VLOOKUP(A104,'[1]تحديث العملاء'!$A:$D,4,0)</f>
        <v>Mona Mohamed</v>
      </c>
      <c r="F104" s="20">
        <v>0</v>
      </c>
      <c r="G104" s="20">
        <v>29490.7</v>
      </c>
      <c r="H104" s="20">
        <v>0</v>
      </c>
      <c r="I104" s="20">
        <v>0.7</v>
      </c>
      <c r="J104" s="20">
        <v>0</v>
      </c>
      <c r="K104" s="3"/>
      <c r="L104" s="3">
        <f t="shared" si="2"/>
        <v>29491.4</v>
      </c>
    </row>
    <row r="105" spans="1:12" ht="19.5" x14ac:dyDescent="0.4">
      <c r="A105" s="8" t="s">
        <v>237</v>
      </c>
      <c r="B105" s="5" t="str">
        <f>VLOOKUP(A105,'[1]تحديث العملاء'!$A:$D,2,0)</f>
        <v>Horeca Smart</v>
      </c>
      <c r="C105" s="5" t="str">
        <f>VLOOKUP(A105,'[1]تحديث العملاء'!$A:$D,3,0)</f>
        <v xml:space="preserve">عملاء كاش </v>
      </c>
      <c r="D105" s="6" t="str">
        <f>VLOOKUP(A105,'09-09'!A:L,4,0)</f>
        <v xml:space="preserve">الدفع الفوري </v>
      </c>
      <c r="E105" s="5" t="str">
        <f>VLOOKUP(A105,'[1]تحديث العملاء'!$A:$D,4,0)</f>
        <v>Reham Maher</v>
      </c>
      <c r="F105" s="20">
        <v>0</v>
      </c>
      <c r="G105" s="20">
        <v>28662.6</v>
      </c>
      <c r="H105" s="20">
        <v>6.37</v>
      </c>
      <c r="I105" s="20">
        <v>0</v>
      </c>
      <c r="J105" s="20">
        <v>0</v>
      </c>
      <c r="K105" s="3"/>
      <c r="L105" s="3">
        <f t="shared" si="2"/>
        <v>28668.969999999998</v>
      </c>
    </row>
    <row r="106" spans="1:12" ht="19.5" x14ac:dyDescent="0.4">
      <c r="A106" s="8" t="s">
        <v>148</v>
      </c>
      <c r="B106" s="5" t="str">
        <f>VLOOKUP(A106,'[1]تحديث العملاء'!$A:$D,2,0)</f>
        <v>Horeca Smart</v>
      </c>
      <c r="C106" s="5" t="str">
        <f>VLOOKUP(A106,'[1]تحديث العملاء'!$A:$D,3,0)</f>
        <v xml:space="preserve">عملاء كاش </v>
      </c>
      <c r="D106" s="6" t="str">
        <f>VLOOKUP(A106,'09-09'!A:L,4,0)</f>
        <v xml:space="preserve">الدفع الفوري </v>
      </c>
      <c r="E106" s="5" t="str">
        <f>VLOOKUP(A106,'[1]تحديث العملاء'!$A:$D,4,0)</f>
        <v>Mona Mohamed</v>
      </c>
      <c r="F106" s="20">
        <v>0</v>
      </c>
      <c r="G106" s="20">
        <v>0</v>
      </c>
      <c r="H106" s="20">
        <v>0</v>
      </c>
      <c r="I106" s="20">
        <v>28446.38</v>
      </c>
      <c r="J106" s="20">
        <v>0</v>
      </c>
      <c r="K106" s="3"/>
      <c r="L106" s="3">
        <f t="shared" si="2"/>
        <v>28446.38</v>
      </c>
    </row>
    <row r="107" spans="1:12" ht="19.5" x14ac:dyDescent="0.4">
      <c r="A107" s="5" t="s">
        <v>149</v>
      </c>
      <c r="B107" s="5" t="str">
        <f>VLOOKUP(A107,'[1]تحديث العملاء'!$A:$D,2,0)</f>
        <v>MAS</v>
      </c>
      <c r="C107" s="5" t="str">
        <f>VLOOKUP(A107,'[1]تحديث العملاء'!$A:$D,3,0)</f>
        <v>عملاء اجل</v>
      </c>
      <c r="D107" s="6" t="str">
        <f>VLOOKUP(A107,'09-09'!A:L,4,0)</f>
        <v>15 of month</v>
      </c>
      <c r="E107" s="5" t="str">
        <f>VLOOKUP(A107,'[1]تحديث العملاء'!$A:$D,4,0)</f>
        <v>Haddil Haron</v>
      </c>
      <c r="F107" s="20">
        <v>0</v>
      </c>
      <c r="G107" s="20">
        <v>0</v>
      </c>
      <c r="H107" s="20">
        <v>0</v>
      </c>
      <c r="I107" s="20">
        <v>0</v>
      </c>
      <c r="J107" s="20">
        <v>28241.84</v>
      </c>
      <c r="K107" s="5"/>
      <c r="L107" s="3">
        <f t="shared" si="2"/>
        <v>28241.84</v>
      </c>
    </row>
    <row r="108" spans="1:12" ht="19.5" x14ac:dyDescent="0.4">
      <c r="A108" s="8" t="s">
        <v>165</v>
      </c>
      <c r="B108" s="5" t="str">
        <f>VLOOKUP(A108,'[1]تحديث العملاء'!$A:$D,2,0)</f>
        <v>Horeca Smart</v>
      </c>
      <c r="C108" s="5" t="str">
        <f>VLOOKUP(A108,'[1]تحديث العملاء'!$A:$D,3,0)</f>
        <v xml:space="preserve">عملاء كاش </v>
      </c>
      <c r="D108" s="6" t="str">
        <f>VLOOKUP(A108,'09-09'!A:L,4,0)</f>
        <v xml:space="preserve">الدفع الفوري </v>
      </c>
      <c r="E108" s="5" t="str">
        <f>VLOOKUP(A108,'[1]تحديث العملاء'!$A:$D,4,0)</f>
        <v>Reham Maher</v>
      </c>
      <c r="F108" s="20">
        <v>1750</v>
      </c>
      <c r="G108" s="20">
        <v>6515.42</v>
      </c>
      <c r="H108" s="20">
        <v>0</v>
      </c>
      <c r="I108" s="20">
        <v>0</v>
      </c>
      <c r="J108" s="20">
        <v>18092</v>
      </c>
      <c r="K108" s="3"/>
      <c r="L108" s="3">
        <f t="shared" si="2"/>
        <v>26357.42</v>
      </c>
    </row>
    <row r="109" spans="1:12" ht="19.5" x14ac:dyDescent="0.4">
      <c r="A109" s="5" t="s">
        <v>151</v>
      </c>
      <c r="B109" s="5" t="str">
        <f>VLOOKUP(A109,'[1]تحديث العملاء'!$A:$D,2,0)</f>
        <v>Horeca Smart</v>
      </c>
      <c r="C109" s="5" t="str">
        <f>VLOOKUP(A109,'[1]تحديث العملاء'!$A:$D,3,0)</f>
        <v xml:space="preserve">عملاء كاش </v>
      </c>
      <c r="D109" s="6" t="str">
        <f>VLOOKUP(A109,'09-09'!A:L,4,0)</f>
        <v xml:space="preserve">الدفع الفوري </v>
      </c>
      <c r="E109" s="5" t="str">
        <f>VLOOKUP(A109,'[1]تحديث العملاء'!$A:$D,4,0)</f>
        <v>Reham Maher</v>
      </c>
      <c r="F109" s="20">
        <v>0</v>
      </c>
      <c r="G109" s="20">
        <v>0</v>
      </c>
      <c r="H109" s="20">
        <v>0</v>
      </c>
      <c r="I109" s="20">
        <v>0</v>
      </c>
      <c r="J109" s="20">
        <v>26301.81</v>
      </c>
      <c r="K109" s="5"/>
      <c r="L109" s="3">
        <f t="shared" si="2"/>
        <v>26301.81</v>
      </c>
    </row>
    <row r="110" spans="1:12" ht="19.5" x14ac:dyDescent="0.4">
      <c r="A110" s="8" t="s">
        <v>152</v>
      </c>
      <c r="B110" s="5" t="str">
        <f>VLOOKUP(A110,'[1]تحديث العملاء'!$A:$D,2,0)</f>
        <v>MAS</v>
      </c>
      <c r="C110" s="5" t="str">
        <f>VLOOKUP(A110,'[1]تحديث العملاء'!$A:$D,3,0)</f>
        <v>عملاء اجل</v>
      </c>
      <c r="D110" s="6" t="str">
        <f>VLOOKUP(A110,'09-09'!A:L,4,0)</f>
        <v>15 يوماً</v>
      </c>
      <c r="E110" s="5" t="str">
        <f>VLOOKUP(A110,'[1]تحديث العملاء'!$A:$D,4,0)</f>
        <v>Haddil Haron</v>
      </c>
      <c r="F110" s="20">
        <v>0</v>
      </c>
      <c r="G110" s="20">
        <v>0</v>
      </c>
      <c r="H110" s="20">
        <v>26008</v>
      </c>
      <c r="I110" s="20">
        <v>0</v>
      </c>
      <c r="J110" s="20">
        <v>0</v>
      </c>
      <c r="K110" s="3"/>
      <c r="L110" s="3">
        <f t="shared" si="2"/>
        <v>26008</v>
      </c>
    </row>
    <row r="111" spans="1:12" ht="19.5" x14ac:dyDescent="0.4">
      <c r="A111" s="8" t="s">
        <v>143</v>
      </c>
      <c r="B111" s="5" t="str">
        <f>VLOOKUP(A111,'[1]تحديث العملاء'!$A:$D,2,0)</f>
        <v>Horeca Smart</v>
      </c>
      <c r="C111" s="5" t="str">
        <f>VLOOKUP(A111,'[1]تحديث العملاء'!$A:$D,3,0)</f>
        <v xml:space="preserve">عملاء كاش </v>
      </c>
      <c r="D111" s="6" t="str">
        <f>VLOOKUP(A111,'09-09'!A:L,4,0)</f>
        <v xml:space="preserve">الدفع الفوري </v>
      </c>
      <c r="E111" s="5" t="str">
        <f>VLOOKUP(A111,'[1]تحديث العملاء'!$A:$D,4,0)</f>
        <v>Mona Mohamed</v>
      </c>
      <c r="F111" s="20">
        <v>26970</v>
      </c>
      <c r="G111" s="20">
        <v>-1000</v>
      </c>
      <c r="H111" s="20">
        <v>0</v>
      </c>
      <c r="I111" s="20">
        <v>0</v>
      </c>
      <c r="J111" s="20">
        <v>0</v>
      </c>
      <c r="K111" s="3"/>
      <c r="L111" s="3">
        <f t="shared" si="2"/>
        <v>25970</v>
      </c>
    </row>
    <row r="112" spans="1:12" ht="19.5" x14ac:dyDescent="0.4">
      <c r="A112" s="8" t="s">
        <v>159</v>
      </c>
      <c r="B112" s="5" t="str">
        <f>VLOOKUP(A112,'[1]تحديث العملاء'!$A:$D,2,0)</f>
        <v>Horeca Smart</v>
      </c>
      <c r="C112" s="5" t="str">
        <f>VLOOKUP(A112,'[1]تحديث العملاء'!$A:$D,3,0)</f>
        <v xml:space="preserve">عملاء كاش </v>
      </c>
      <c r="D112" s="6" t="str">
        <f>VLOOKUP(A112,'09-09'!A:L,4,0)</f>
        <v xml:space="preserve">الدفع الفوري </v>
      </c>
      <c r="E112" s="5" t="str">
        <f>VLOOKUP(A112,'[1]تحديث العملاء'!$A:$D,4,0)</f>
        <v>Mona Mohamed</v>
      </c>
      <c r="F112" s="20">
        <v>0</v>
      </c>
      <c r="G112" s="20">
        <v>24125.69</v>
      </c>
      <c r="H112" s="20">
        <v>0</v>
      </c>
      <c r="I112" s="20">
        <v>0</v>
      </c>
      <c r="J112" s="20">
        <v>0</v>
      </c>
      <c r="K112" s="3"/>
      <c r="L112" s="3">
        <f t="shared" si="2"/>
        <v>24125.69</v>
      </c>
    </row>
    <row r="113" spans="1:12" ht="19.5" x14ac:dyDescent="0.4">
      <c r="A113" s="5" t="s">
        <v>144</v>
      </c>
      <c r="B113" s="5" t="str">
        <f>VLOOKUP(A113,'[1]تحديث العملاء'!$A:$D,2,0)</f>
        <v>Horeca Smart</v>
      </c>
      <c r="C113" s="5" t="str">
        <f>VLOOKUP(A113,'[1]تحديث العملاء'!$A:$D,3,0)</f>
        <v xml:space="preserve">عملاء كاش </v>
      </c>
      <c r="D113" s="6" t="str">
        <f>VLOOKUP(A113,'09-09'!A:L,4,0)</f>
        <v xml:space="preserve">الدفع الفوري </v>
      </c>
      <c r="E113" s="5" t="str">
        <f>VLOOKUP(A113,'[1]تحديث العملاء'!$A:$D,4,0)</f>
        <v>Mona Mohamed</v>
      </c>
      <c r="F113" s="20">
        <v>0</v>
      </c>
      <c r="G113" s="20">
        <v>-725.14</v>
      </c>
      <c r="H113" s="20">
        <v>22460.22</v>
      </c>
      <c r="I113" s="20">
        <v>0</v>
      </c>
      <c r="J113" s="20">
        <v>1356.19</v>
      </c>
      <c r="K113" s="5"/>
      <c r="L113" s="3">
        <f t="shared" si="2"/>
        <v>23091.27</v>
      </c>
    </row>
    <row r="114" spans="1:12" ht="19.5" x14ac:dyDescent="0.4">
      <c r="A114" s="8" t="s">
        <v>314</v>
      </c>
      <c r="B114" s="5" t="str">
        <f>VLOOKUP(A114,'[1]تحديث العملاء'!$A:$D,2,0)</f>
        <v>Horeca Smart</v>
      </c>
      <c r="C114" s="5" t="str">
        <f>VLOOKUP(A114,'[1]تحديث العملاء'!$A:$D,3,0)</f>
        <v xml:space="preserve">عملاء كاش </v>
      </c>
      <c r="D114" s="6" t="e">
        <f>VLOOKUP(A114,'09-09'!A:L,4,0)</f>
        <v>#N/A</v>
      </c>
      <c r="E114" s="5" t="str">
        <f>VLOOKUP(A114,'[1]تحديث العملاء'!$A:$D,4,0)</f>
        <v>Lames Magdy</v>
      </c>
      <c r="F114" s="20">
        <v>23003</v>
      </c>
      <c r="G114" s="20">
        <v>0</v>
      </c>
      <c r="H114" s="20">
        <v>0.51</v>
      </c>
      <c r="I114" s="20">
        <v>-0.51</v>
      </c>
      <c r="J114" s="20">
        <v>0</v>
      </c>
      <c r="K114" s="3"/>
      <c r="L114" s="3">
        <f t="shared" si="2"/>
        <v>23003</v>
      </c>
    </row>
    <row r="115" spans="1:12" ht="19.5" x14ac:dyDescent="0.4">
      <c r="A115" s="5" t="s">
        <v>89</v>
      </c>
      <c r="B115" s="5" t="str">
        <f>VLOOKUP(A115,'[1]تحديث العملاء'!$A:$D,2,0)</f>
        <v>MAS</v>
      </c>
      <c r="C115" s="5" t="str">
        <f>VLOOKUP(A115,'[1]تحديث العملاء'!$A:$D,3,0)</f>
        <v xml:space="preserve">عملاء كاش </v>
      </c>
      <c r="D115" s="6" t="e">
        <f>VLOOKUP(A115,'09-09'!A:L,4,0)</f>
        <v>#N/A</v>
      </c>
      <c r="E115" s="5" t="str">
        <f>VLOOKUP(A115,'[1]تحديث العملاء'!$A:$D,4,0)</f>
        <v>Haddil Haron</v>
      </c>
      <c r="F115" s="20">
        <v>0</v>
      </c>
      <c r="G115" s="20">
        <v>21800</v>
      </c>
      <c r="H115" s="20">
        <v>0</v>
      </c>
      <c r="I115" s="20">
        <v>0</v>
      </c>
      <c r="J115" s="20">
        <v>0</v>
      </c>
      <c r="K115" s="5"/>
      <c r="L115" s="3">
        <f t="shared" si="2"/>
        <v>21800</v>
      </c>
    </row>
    <row r="116" spans="1:12" ht="19.5" x14ac:dyDescent="0.4">
      <c r="A116" s="5" t="s">
        <v>172</v>
      </c>
      <c r="B116" s="5" t="str">
        <f>VLOOKUP(A116,'[1]تحديث العملاء'!$A:$D,2,0)</f>
        <v>Horeca Smart</v>
      </c>
      <c r="C116" s="5" t="str">
        <f>VLOOKUP(A116,'[1]تحديث العملاء'!$A:$D,3,0)</f>
        <v xml:space="preserve">عملاء كاش </v>
      </c>
      <c r="D116" s="6" t="str">
        <f>VLOOKUP(A116,'09-09'!A:L,4,0)</f>
        <v xml:space="preserve">الدفع الفوري </v>
      </c>
      <c r="E116" s="5" t="str">
        <f>VLOOKUP(A116,'[1]تحديث العملاء'!$A:$D,4,0)</f>
        <v>Lames Magdy</v>
      </c>
      <c r="F116" s="20">
        <v>0</v>
      </c>
      <c r="G116" s="20">
        <v>21455.69</v>
      </c>
      <c r="H116" s="20">
        <v>0</v>
      </c>
      <c r="I116" s="20">
        <v>0</v>
      </c>
      <c r="J116" s="20">
        <v>0</v>
      </c>
      <c r="K116" s="5"/>
      <c r="L116" s="3">
        <f t="shared" si="2"/>
        <v>21455.69</v>
      </c>
    </row>
    <row r="117" spans="1:12" ht="19.5" x14ac:dyDescent="0.4">
      <c r="A117" s="5" t="s">
        <v>178</v>
      </c>
      <c r="B117" s="5" t="str">
        <f>VLOOKUP(A117,'[1]تحديث العملاء'!$A:$D,2,0)</f>
        <v>Horeca Smart</v>
      </c>
      <c r="C117" s="5" t="str">
        <f>VLOOKUP(A117,'[1]تحديث العملاء'!$A:$D,3,0)</f>
        <v xml:space="preserve">عملاء كاش </v>
      </c>
      <c r="D117" s="6" t="e">
        <f>VLOOKUP(A117,'09-09'!A:L,4,0)</f>
        <v>#N/A</v>
      </c>
      <c r="E117" s="5" t="str">
        <f>VLOOKUP(A117,'[1]تحديث العملاء'!$A:$D,4,0)</f>
        <v>Lames Magdy</v>
      </c>
      <c r="F117" s="20">
        <v>0</v>
      </c>
      <c r="G117" s="20">
        <v>20755.84</v>
      </c>
      <c r="H117" s="20">
        <v>160.96</v>
      </c>
      <c r="I117" s="20">
        <v>0</v>
      </c>
      <c r="J117" s="20">
        <v>0.95</v>
      </c>
      <c r="K117" s="5"/>
      <c r="L117" s="3">
        <f t="shared" si="2"/>
        <v>20917.75</v>
      </c>
    </row>
    <row r="118" spans="1:12" ht="19.5" x14ac:dyDescent="0.4">
      <c r="A118" s="8" t="s">
        <v>160</v>
      </c>
      <c r="B118" s="5" t="str">
        <f>VLOOKUP(A118,'[1]تحديث العملاء'!$A:$D,2,0)</f>
        <v>Horeca Smart</v>
      </c>
      <c r="C118" s="5" t="str">
        <f>VLOOKUP(A118,'[1]تحديث العملاء'!$A:$D,3,0)</f>
        <v xml:space="preserve">عملاء كاش </v>
      </c>
      <c r="D118" s="6" t="str">
        <f>VLOOKUP(A118,'09-09'!A:L,4,0)</f>
        <v xml:space="preserve">الدفع الفوري </v>
      </c>
      <c r="E118" s="5" t="str">
        <f>VLOOKUP(A118,'[1]تحديث العملاء'!$A:$D,4,0)</f>
        <v>Reham Maher</v>
      </c>
      <c r="F118" s="20">
        <v>0</v>
      </c>
      <c r="G118" s="20">
        <v>812.25</v>
      </c>
      <c r="H118" s="20">
        <v>0</v>
      </c>
      <c r="I118" s="20">
        <v>0</v>
      </c>
      <c r="J118" s="20">
        <v>19712.75</v>
      </c>
      <c r="K118" s="3"/>
      <c r="L118" s="3">
        <f t="shared" si="2"/>
        <v>20525</v>
      </c>
    </row>
    <row r="119" spans="1:12" ht="19.5" x14ac:dyDescent="0.4">
      <c r="A119" s="8" t="s">
        <v>161</v>
      </c>
      <c r="B119" s="5" t="str">
        <f>VLOOKUP(A119,'[1]تحديث العملاء'!$A:$D,2,0)</f>
        <v>MAS</v>
      </c>
      <c r="C119" s="5" t="str">
        <f>VLOOKUP(A119,'[1]تحديث العملاء'!$A:$D,3,0)</f>
        <v>عملاء اجل</v>
      </c>
      <c r="D119" s="6" t="str">
        <f>VLOOKUP(A119,'09-09'!A:L,4,0)</f>
        <v>30 يوماً</v>
      </c>
      <c r="E119" s="5" t="str">
        <f>VLOOKUP(A119,'[1]تحديث العملاء'!$A:$D,4,0)</f>
        <v>Lames Magdy</v>
      </c>
      <c r="F119" s="20">
        <v>0</v>
      </c>
      <c r="G119" s="20">
        <v>0</v>
      </c>
      <c r="H119" s="20">
        <v>0</v>
      </c>
      <c r="I119" s="20">
        <v>0</v>
      </c>
      <c r="J119" s="20">
        <v>20039.75</v>
      </c>
      <c r="K119" s="3"/>
      <c r="L119" s="3">
        <f t="shared" si="2"/>
        <v>20039.75</v>
      </c>
    </row>
    <row r="120" spans="1:12" ht="19.5" x14ac:dyDescent="0.4">
      <c r="A120" s="8" t="s">
        <v>164</v>
      </c>
      <c r="B120" s="5" t="str">
        <f>VLOOKUP(A120,'[1]تحديث العملاء'!$A:$D,2,0)</f>
        <v>Horeca Smart</v>
      </c>
      <c r="C120" s="5" t="str">
        <f>VLOOKUP(A120,'[1]تحديث العملاء'!$A:$D,3,0)</f>
        <v xml:space="preserve">عملاء كاش </v>
      </c>
      <c r="D120" s="6" t="str">
        <f>VLOOKUP(A120,'09-09'!A:L,4,0)</f>
        <v xml:space="preserve">الدفع الفوري </v>
      </c>
      <c r="E120" s="5" t="str">
        <f>VLOOKUP(A120,'[1]تحديث العملاء'!$A:$D,4,0)</f>
        <v>Donia Khaled</v>
      </c>
      <c r="F120" s="20">
        <v>0</v>
      </c>
      <c r="G120" s="20">
        <v>0</v>
      </c>
      <c r="H120" s="20">
        <v>0</v>
      </c>
      <c r="I120" s="20">
        <v>0</v>
      </c>
      <c r="J120" s="20">
        <v>18709.810000000001</v>
      </c>
      <c r="K120" s="3"/>
      <c r="L120" s="3">
        <f t="shared" si="2"/>
        <v>18709.810000000001</v>
      </c>
    </row>
    <row r="121" spans="1:12" ht="19.5" x14ac:dyDescent="0.4">
      <c r="A121" s="5" t="s">
        <v>166</v>
      </c>
      <c r="B121" s="5" t="str">
        <f>VLOOKUP(A121,'[1]تحديث العملاء'!$A:$D,2,0)</f>
        <v>Horeca Smart</v>
      </c>
      <c r="C121" s="5" t="str">
        <f>VLOOKUP(A121,'[1]تحديث العملاء'!$A:$D,3,0)</f>
        <v xml:space="preserve">عملاء كاش </v>
      </c>
      <c r="D121" s="6" t="str">
        <f>VLOOKUP(A121,'09-09'!A:L,4,0)</f>
        <v xml:space="preserve">الدفع الفوري </v>
      </c>
      <c r="E121" s="5" t="str">
        <f>VLOOKUP(A121,'[1]تحديث العملاء'!$A:$D,4,0)</f>
        <v>Donia Khaled</v>
      </c>
      <c r="F121" s="20">
        <v>0</v>
      </c>
      <c r="G121" s="20">
        <v>0</v>
      </c>
      <c r="H121" s="20">
        <v>0</v>
      </c>
      <c r="I121" s="20">
        <v>5435</v>
      </c>
      <c r="J121" s="20">
        <v>12600</v>
      </c>
      <c r="K121" s="5"/>
      <c r="L121" s="3">
        <f t="shared" si="2"/>
        <v>18035</v>
      </c>
    </row>
    <row r="122" spans="1:12" ht="19.5" x14ac:dyDescent="0.4">
      <c r="A122" s="8" t="s">
        <v>167</v>
      </c>
      <c r="B122" s="5" t="str">
        <f>VLOOKUP(A122,'[1]تحديث العملاء'!$A:$D,2,0)</f>
        <v>Horeca Smart</v>
      </c>
      <c r="C122" s="5" t="str">
        <f>VLOOKUP(A122,'[1]تحديث العملاء'!$A:$D,3,0)</f>
        <v xml:space="preserve">عملاء كاش </v>
      </c>
      <c r="D122" s="6" t="str">
        <f>VLOOKUP(A122,'09-09'!A:L,4,0)</f>
        <v xml:space="preserve">الدفع الفوري </v>
      </c>
      <c r="E122" s="5" t="str">
        <f>VLOOKUP(A122,'[1]تحديث العملاء'!$A:$D,4,0)</f>
        <v>Lames Magdy</v>
      </c>
      <c r="F122" s="20">
        <v>0</v>
      </c>
      <c r="G122" s="20">
        <v>0</v>
      </c>
      <c r="H122" s="20">
        <v>17768</v>
      </c>
      <c r="I122" s="20">
        <v>0</v>
      </c>
      <c r="J122" s="20">
        <v>0</v>
      </c>
      <c r="K122" s="3"/>
      <c r="L122" s="3">
        <f t="shared" si="2"/>
        <v>17768</v>
      </c>
    </row>
    <row r="123" spans="1:12" ht="19.5" x14ac:dyDescent="0.4">
      <c r="A123" s="8" t="s">
        <v>240</v>
      </c>
      <c r="B123" s="5" t="str">
        <f>VLOOKUP(A123,'[1]تحديث العملاء'!$A:$D,2,0)</f>
        <v>Horeca Smart</v>
      </c>
      <c r="C123" s="5" t="str">
        <f>VLOOKUP(A123,'[1]تحديث العملاء'!$A:$D,3,0)</f>
        <v xml:space="preserve">عملاء كاش </v>
      </c>
      <c r="D123" s="6" t="str">
        <f>VLOOKUP(A123,'09-09'!A:L,4,0)</f>
        <v xml:space="preserve">الدفع الفوري </v>
      </c>
      <c r="E123" s="5" t="str">
        <f>VLOOKUP(A123,'[1]تحديث العملاء'!$A:$D,4,0)</f>
        <v>Donia Khaled</v>
      </c>
      <c r="F123" s="20">
        <v>0</v>
      </c>
      <c r="G123" s="20">
        <v>17200.86</v>
      </c>
      <c r="H123" s="20">
        <v>131.36000000000001</v>
      </c>
      <c r="I123" s="20">
        <v>0</v>
      </c>
      <c r="J123" s="20">
        <v>1</v>
      </c>
      <c r="K123" s="3"/>
      <c r="L123" s="3">
        <f t="shared" si="2"/>
        <v>17333.22</v>
      </c>
    </row>
    <row r="124" spans="1:12" ht="19.5" x14ac:dyDescent="0.4">
      <c r="A124" s="8" t="s">
        <v>163</v>
      </c>
      <c r="B124" s="5" t="str">
        <f>VLOOKUP(A124,'[1]تحديث العملاء'!$A:$D,2,0)</f>
        <v>Horeca Smart</v>
      </c>
      <c r="C124" s="5" t="str">
        <f>VLOOKUP(A124,'[1]تحديث العملاء'!$A:$D,3,0)</f>
        <v>عملاء اجل</v>
      </c>
      <c r="D124" s="6" t="str">
        <f>VLOOKUP(A124,'09-09'!A:L,4,0)</f>
        <v>10 يوماً</v>
      </c>
      <c r="E124" s="5" t="str">
        <f>VLOOKUP(A124,'[1]تحديث العملاء'!$A:$D,4,0)</f>
        <v>Mona Mohamed</v>
      </c>
      <c r="F124" s="20">
        <v>29525.599999999999</v>
      </c>
      <c r="G124" s="20">
        <v>-12728.76</v>
      </c>
      <c r="H124" s="20">
        <v>0</v>
      </c>
      <c r="I124" s="20">
        <v>0</v>
      </c>
      <c r="J124" s="20">
        <v>0</v>
      </c>
      <c r="K124" s="3"/>
      <c r="L124" s="3">
        <f t="shared" si="2"/>
        <v>16796.839999999997</v>
      </c>
    </row>
    <row r="125" spans="1:12" ht="19.5" x14ac:dyDescent="0.4">
      <c r="A125" s="8" t="s">
        <v>162</v>
      </c>
      <c r="B125" s="5" t="str">
        <f>VLOOKUP(A125,'[1]تحديث العملاء'!$A:$D,2,0)</f>
        <v>Horeca Smart</v>
      </c>
      <c r="C125" s="5" t="str">
        <f>VLOOKUP(A125,'[1]تحديث العملاء'!$A:$D,3,0)</f>
        <v xml:space="preserve">عملاء كاش </v>
      </c>
      <c r="D125" s="6" t="str">
        <f>VLOOKUP(A125,'09-09'!A:L,4,0)</f>
        <v xml:space="preserve">الدفع الفوري </v>
      </c>
      <c r="E125" s="5" t="str">
        <f>VLOOKUP(A125,'[1]تحديث العملاء'!$A:$D,4,0)</f>
        <v>Reham Maher</v>
      </c>
      <c r="F125" s="20">
        <v>0</v>
      </c>
      <c r="G125" s="20">
        <v>16363</v>
      </c>
      <c r="H125" s="20">
        <v>127</v>
      </c>
      <c r="I125" s="20">
        <v>0</v>
      </c>
      <c r="J125" s="20">
        <v>16</v>
      </c>
      <c r="K125" s="3"/>
      <c r="L125" s="3">
        <f t="shared" si="2"/>
        <v>16506</v>
      </c>
    </row>
    <row r="126" spans="1:12" ht="19.5" x14ac:dyDescent="0.4">
      <c r="A126" s="8" t="s">
        <v>371</v>
      </c>
      <c r="B126" s="5" t="str">
        <f>VLOOKUP(A126,'[1]تحديث العملاء'!$A:$D,2,0)</f>
        <v>Horeca Smart</v>
      </c>
      <c r="C126" s="5" t="str">
        <f>VLOOKUP(A126,'[1]تحديث العملاء'!$A:$D,3,0)</f>
        <v xml:space="preserve">عملاء كاش </v>
      </c>
      <c r="D126" s="6" t="e">
        <f>VLOOKUP(A126,'09-09'!A:L,4,0)</f>
        <v>#N/A</v>
      </c>
      <c r="E126" s="5" t="str">
        <f>VLOOKUP(A126,'[1]تحديث العملاء'!$A:$D,4,0)</f>
        <v>Reham Maher</v>
      </c>
      <c r="F126" s="20">
        <v>0</v>
      </c>
      <c r="G126" s="20">
        <v>16159.9</v>
      </c>
      <c r="H126" s="20">
        <v>0</v>
      </c>
      <c r="I126" s="20">
        <v>0</v>
      </c>
      <c r="J126" s="20">
        <v>0</v>
      </c>
      <c r="K126" s="3"/>
      <c r="L126" s="3">
        <f t="shared" si="2"/>
        <v>16159.9</v>
      </c>
    </row>
    <row r="127" spans="1:12" ht="19.5" x14ac:dyDescent="0.4">
      <c r="A127" s="8" t="s">
        <v>190</v>
      </c>
      <c r="B127" s="5" t="str">
        <f>VLOOKUP(A127,'[1]تحديث العملاء'!$A:$D,2,0)</f>
        <v>Horeca Smart</v>
      </c>
      <c r="C127" s="5" t="str">
        <f>VLOOKUP(A127,'[1]تحديث العملاء'!$A:$D,3,0)</f>
        <v xml:space="preserve">عملاء كاش </v>
      </c>
      <c r="D127" s="6" t="e">
        <f>VLOOKUP(A127,'09-09'!A:L,4,0)</f>
        <v>#N/A</v>
      </c>
      <c r="E127" s="5" t="str">
        <f>VLOOKUP(A127,'[1]تحديث العملاء'!$A:$D,4,0)</f>
        <v>Mona Mohamed</v>
      </c>
      <c r="F127" s="20">
        <v>0</v>
      </c>
      <c r="G127" s="20">
        <v>15447.6</v>
      </c>
      <c r="H127" s="20">
        <v>0</v>
      </c>
      <c r="I127" s="20">
        <v>0</v>
      </c>
      <c r="J127" s="20">
        <v>0</v>
      </c>
      <c r="K127" s="3"/>
      <c r="L127" s="3">
        <f t="shared" si="2"/>
        <v>15447.6</v>
      </c>
    </row>
    <row r="128" spans="1:12" ht="19.5" x14ac:dyDescent="0.4">
      <c r="A128" s="5" t="s">
        <v>372</v>
      </c>
      <c r="B128" s="5" t="str">
        <f>VLOOKUP(A128,'[1]تحديث العملاء'!$A:$D,2,0)</f>
        <v>Horeca Smart</v>
      </c>
      <c r="C128" s="5" t="str">
        <f>VLOOKUP(A128,'[1]تحديث العملاء'!$A:$D,3,0)</f>
        <v xml:space="preserve">عملاء كاش </v>
      </c>
      <c r="D128" s="6" t="e">
        <f>VLOOKUP(A128,'09-09'!A:L,4,0)</f>
        <v>#N/A</v>
      </c>
      <c r="E128" s="5" t="str">
        <f>VLOOKUP(A128,'[1]تحديث العملاء'!$A:$D,4,0)</f>
        <v>Naden Amgad</v>
      </c>
      <c r="F128" s="20">
        <v>0</v>
      </c>
      <c r="G128" s="20">
        <v>14564.94</v>
      </c>
      <c r="H128" s="20">
        <v>0</v>
      </c>
      <c r="I128" s="20">
        <v>0</v>
      </c>
      <c r="J128" s="20">
        <v>0</v>
      </c>
      <c r="K128" s="5"/>
      <c r="L128" s="3">
        <f t="shared" si="2"/>
        <v>14564.94</v>
      </c>
    </row>
    <row r="129" spans="1:12" ht="19.5" x14ac:dyDescent="0.4">
      <c r="A129" s="5" t="s">
        <v>171</v>
      </c>
      <c r="B129" s="5" t="str">
        <f>VLOOKUP(A129,'[1]تحديث العملاء'!$A:$D,2,0)</f>
        <v>Horeca Smart</v>
      </c>
      <c r="C129" s="5" t="str">
        <f>VLOOKUP(A129,'[1]تحديث العملاء'!$A:$D,3,0)</f>
        <v xml:space="preserve">عملاء كاش </v>
      </c>
      <c r="D129" s="6" t="str">
        <f>VLOOKUP(A129,'09-09'!A:L,4,0)</f>
        <v xml:space="preserve">الدفع الفوري </v>
      </c>
      <c r="E129" s="5" t="str">
        <f>VLOOKUP(A129,'[1]تحديث العملاء'!$A:$D,4,0)</f>
        <v>Lames Magdy</v>
      </c>
      <c r="F129" s="20">
        <v>0</v>
      </c>
      <c r="G129" s="20">
        <v>0</v>
      </c>
      <c r="H129" s="20">
        <v>14160</v>
      </c>
      <c r="I129" s="20">
        <v>0</v>
      </c>
      <c r="J129" s="20">
        <v>0</v>
      </c>
      <c r="K129" s="5"/>
      <c r="L129" s="3">
        <f t="shared" si="2"/>
        <v>14160</v>
      </c>
    </row>
    <row r="130" spans="1:12" ht="19.5" x14ac:dyDescent="0.4">
      <c r="A130" s="8" t="s">
        <v>209</v>
      </c>
      <c r="B130" s="5" t="str">
        <f>VLOOKUP(A130,'[1]تحديث العملاء'!$A:$D,2,0)</f>
        <v>Horeca Smart</v>
      </c>
      <c r="C130" s="5" t="str">
        <f>VLOOKUP(A130,'[1]تحديث العملاء'!$A:$D,3,0)</f>
        <v xml:space="preserve">عملاء كاش </v>
      </c>
      <c r="D130" s="6" t="e">
        <f>VLOOKUP(A130,'09-09'!A:L,4,0)</f>
        <v>#N/A</v>
      </c>
      <c r="E130" s="5" t="str">
        <f>VLOOKUP(A130,'[1]تحديث العملاء'!$A:$D,4,0)</f>
        <v>Reham Maher</v>
      </c>
      <c r="F130" s="20">
        <v>0</v>
      </c>
      <c r="G130" s="20">
        <v>12924.27</v>
      </c>
      <c r="H130" s="20">
        <v>0.19</v>
      </c>
      <c r="I130" s="20">
        <v>37.119999999999997</v>
      </c>
      <c r="J130" s="20">
        <v>0</v>
      </c>
      <c r="K130" s="3"/>
      <c r="L130" s="3">
        <f t="shared" si="2"/>
        <v>12961.580000000002</v>
      </c>
    </row>
    <row r="131" spans="1:12" ht="19.5" x14ac:dyDescent="0.4">
      <c r="A131" s="8" t="s">
        <v>208</v>
      </c>
      <c r="B131" s="5" t="str">
        <f>VLOOKUP(A131,'[1]تحديث العملاء'!$A:$D,2,0)</f>
        <v>MAS</v>
      </c>
      <c r="C131" s="5" t="str">
        <f>VLOOKUP(A131,'[1]تحديث العملاء'!$A:$D,3,0)</f>
        <v xml:space="preserve">عملاء كاش </v>
      </c>
      <c r="D131" s="6" t="e">
        <f>VLOOKUP(A131,'09-09'!A:L,4,0)</f>
        <v>#N/A</v>
      </c>
      <c r="E131" s="5" t="str">
        <f>VLOOKUP(A131,'[1]تحديث العملاء'!$A:$D,4,0)</f>
        <v>Haddil Haron</v>
      </c>
      <c r="F131" s="20">
        <v>0</v>
      </c>
      <c r="G131" s="20">
        <v>12262.03</v>
      </c>
      <c r="H131" s="20">
        <v>0</v>
      </c>
      <c r="I131" s="20">
        <v>0</v>
      </c>
      <c r="J131" s="20">
        <v>0</v>
      </c>
      <c r="K131" s="3"/>
      <c r="L131" s="3">
        <f t="shared" si="2"/>
        <v>12262.03</v>
      </c>
    </row>
    <row r="132" spans="1:12" ht="19.5" x14ac:dyDescent="0.4">
      <c r="A132" s="8" t="s">
        <v>175</v>
      </c>
      <c r="B132" s="5" t="str">
        <f>VLOOKUP(A132,'[1]تحديث العملاء'!$A:$D,2,0)</f>
        <v>Horeca Smart</v>
      </c>
      <c r="C132" s="5" t="str">
        <f>VLOOKUP(A132,'[1]تحديث العملاء'!$A:$D,3,0)</f>
        <v xml:space="preserve">عملاء كاش </v>
      </c>
      <c r="D132" s="6" t="str">
        <f>VLOOKUP(A132,'09-09'!A:L,4,0)</f>
        <v xml:space="preserve">الدفع الفوري </v>
      </c>
      <c r="E132" s="5" t="str">
        <f>VLOOKUP(A132,'[1]تحديث العملاء'!$A:$D,4,0)</f>
        <v>Lames Magdy</v>
      </c>
      <c r="F132" s="20">
        <v>0</v>
      </c>
      <c r="G132" s="20">
        <v>0</v>
      </c>
      <c r="H132" s="20">
        <v>12247.46</v>
      </c>
      <c r="I132" s="20">
        <v>0</v>
      </c>
      <c r="J132" s="20">
        <v>0</v>
      </c>
      <c r="K132" s="3"/>
      <c r="L132" s="3">
        <f t="shared" si="2"/>
        <v>12247.46</v>
      </c>
    </row>
    <row r="133" spans="1:12" ht="19.5" x14ac:dyDescent="0.4">
      <c r="A133" s="5" t="s">
        <v>157</v>
      </c>
      <c r="B133" s="5" t="str">
        <f>VLOOKUP(A133,'[1]تحديث العملاء'!$A:$D,2,0)</f>
        <v>Horeca Smart</v>
      </c>
      <c r="C133" s="5" t="str">
        <f>VLOOKUP(A133,'[1]تحديث العملاء'!$A:$D,3,0)</f>
        <v xml:space="preserve">عملاء كاش </v>
      </c>
      <c r="D133" s="6" t="str">
        <f>VLOOKUP(A133,'09-09'!A:L,4,0)</f>
        <v xml:space="preserve">الدفع الفوري </v>
      </c>
      <c r="E133" s="5" t="str">
        <f>VLOOKUP(A133,'[1]تحديث العملاء'!$A:$D,4,0)</f>
        <v>Mona Mohamed</v>
      </c>
      <c r="F133" s="20">
        <v>0</v>
      </c>
      <c r="G133" s="20">
        <v>11304.44</v>
      </c>
      <c r="H133" s="20">
        <v>0</v>
      </c>
      <c r="I133" s="20">
        <v>0</v>
      </c>
      <c r="J133" s="20">
        <v>0</v>
      </c>
      <c r="K133" s="5"/>
      <c r="L133" s="3">
        <f t="shared" ref="L133:L196" si="3">F133+G133+H133+I133+J133</f>
        <v>11304.44</v>
      </c>
    </row>
    <row r="134" spans="1:12" ht="19.5" x14ac:dyDescent="0.4">
      <c r="A134" s="8" t="s">
        <v>265</v>
      </c>
      <c r="B134" s="5" t="str">
        <f>VLOOKUP(A134,'[1]تحديث العملاء'!$A:$D,2,0)</f>
        <v>Horeca Smart</v>
      </c>
      <c r="C134" s="5" t="str">
        <f>VLOOKUP(A134,'[1]تحديث العملاء'!$A:$D,3,0)</f>
        <v xml:space="preserve">عملاء كاش </v>
      </c>
      <c r="D134" s="6" t="str">
        <f>VLOOKUP(A134,'09-09'!A:L,4,0)</f>
        <v xml:space="preserve">الدفع الفوري </v>
      </c>
      <c r="E134" s="5" t="str">
        <f>VLOOKUP(A134,'[1]تحديث العملاء'!$A:$D,4,0)</f>
        <v>Lames Magdy</v>
      </c>
      <c r="F134" s="20">
        <v>0</v>
      </c>
      <c r="G134" s="20">
        <v>10806</v>
      </c>
      <c r="H134" s="20">
        <v>0</v>
      </c>
      <c r="I134" s="20">
        <v>0</v>
      </c>
      <c r="J134" s="20">
        <v>281.5</v>
      </c>
      <c r="K134" s="3"/>
      <c r="L134" s="3">
        <f t="shared" si="3"/>
        <v>11087.5</v>
      </c>
    </row>
    <row r="135" spans="1:12" ht="19.5" x14ac:dyDescent="0.4">
      <c r="A135" s="8" t="s">
        <v>319</v>
      </c>
      <c r="B135" s="5" t="str">
        <f>VLOOKUP(A135,'[1]تحديث العملاء'!$A:$D,2,0)</f>
        <v>Horeca Smart</v>
      </c>
      <c r="C135" s="5" t="str">
        <f>VLOOKUP(A135,'[1]تحديث العملاء'!$A:$D,3,0)</f>
        <v xml:space="preserve">عملاء كاش </v>
      </c>
      <c r="D135" s="6" t="e">
        <f>VLOOKUP(A135,'09-09'!A:L,4,0)</f>
        <v>#N/A</v>
      </c>
      <c r="E135" s="5" t="str">
        <f>VLOOKUP(A135,'[1]تحديث العملاء'!$A:$D,4,0)</f>
        <v>Naden Amgad</v>
      </c>
      <c r="F135" s="20">
        <v>0</v>
      </c>
      <c r="G135" s="20">
        <v>10939.01</v>
      </c>
      <c r="H135" s="20">
        <v>0</v>
      </c>
      <c r="I135" s="20">
        <v>0</v>
      </c>
      <c r="J135" s="20">
        <v>0</v>
      </c>
      <c r="K135" s="3"/>
      <c r="L135" s="3">
        <f t="shared" si="3"/>
        <v>10939.01</v>
      </c>
    </row>
    <row r="136" spans="1:12" ht="19.5" x14ac:dyDescent="0.4">
      <c r="A136" s="8" t="s">
        <v>373</v>
      </c>
      <c r="B136" s="5" t="str">
        <f>VLOOKUP(A136,'[1]تحديث العملاء'!$A:$D,2,0)</f>
        <v>Horeca Smart</v>
      </c>
      <c r="C136" s="5" t="str">
        <f>VLOOKUP(A136,'[1]تحديث العملاء'!$A:$D,3,0)</f>
        <v xml:space="preserve">عملاء كاش </v>
      </c>
      <c r="D136" s="6" t="e">
        <f>VLOOKUP(A136,'09-09'!A:L,4,0)</f>
        <v>#N/A</v>
      </c>
      <c r="E136" s="5" t="str">
        <f>VLOOKUP(A136,'[1]تحديث العملاء'!$A:$D,4,0)</f>
        <v>Donia Khaled</v>
      </c>
      <c r="F136" s="20">
        <v>0</v>
      </c>
      <c r="G136" s="20">
        <v>10672.37</v>
      </c>
      <c r="H136" s="20">
        <v>0</v>
      </c>
      <c r="I136" s="20">
        <v>0</v>
      </c>
      <c r="J136" s="20">
        <v>0</v>
      </c>
      <c r="K136" s="3"/>
      <c r="L136" s="3">
        <f t="shared" si="3"/>
        <v>10672.37</v>
      </c>
    </row>
    <row r="137" spans="1:12" ht="19.5" x14ac:dyDescent="0.4">
      <c r="A137" s="5" t="s">
        <v>212</v>
      </c>
      <c r="B137" s="5" t="str">
        <f>VLOOKUP(A137,'[1]تحديث العملاء'!$A:$D,2,0)</f>
        <v>Horeca Smart</v>
      </c>
      <c r="C137" s="5" t="str">
        <f>VLOOKUP(A137,'[1]تحديث العملاء'!$A:$D,3,0)</f>
        <v xml:space="preserve">عملاء كاش </v>
      </c>
      <c r="D137" s="6" t="e">
        <f>VLOOKUP(A137,'09-09'!A:L,4,0)</f>
        <v>#N/A</v>
      </c>
      <c r="E137" s="5" t="str">
        <f>VLOOKUP(A137,'[1]تحديث العملاء'!$A:$D,4,0)</f>
        <v>Reham Maher</v>
      </c>
      <c r="F137" s="20">
        <v>10571.25</v>
      </c>
      <c r="G137" s="20">
        <v>-4.5</v>
      </c>
      <c r="H137" s="20">
        <v>0</v>
      </c>
      <c r="I137" s="20">
        <v>0</v>
      </c>
      <c r="J137" s="20">
        <v>0</v>
      </c>
      <c r="K137" s="5"/>
      <c r="L137" s="3">
        <f t="shared" si="3"/>
        <v>10566.75</v>
      </c>
    </row>
    <row r="138" spans="1:12" ht="19.5" x14ac:dyDescent="0.4">
      <c r="A138" s="8" t="s">
        <v>158</v>
      </c>
      <c r="B138" s="5" t="str">
        <f>VLOOKUP(A138,'[1]تحديث العملاء'!$A:$D,2,0)</f>
        <v>Horeca Smart</v>
      </c>
      <c r="C138" s="5" t="str">
        <f>VLOOKUP(A138,'[1]تحديث العملاء'!$A:$D,3,0)</f>
        <v xml:space="preserve">عملاء كاش </v>
      </c>
      <c r="D138" s="6" t="e">
        <f>VLOOKUP(A138,'09-09'!A:L,4,0)</f>
        <v>#N/A</v>
      </c>
      <c r="E138" s="5" t="str">
        <f>VLOOKUP(A138,'[1]تحديث العملاء'!$A:$D,4,0)</f>
        <v>Donia Khaled</v>
      </c>
      <c r="F138" s="20">
        <v>0</v>
      </c>
      <c r="G138" s="20">
        <v>10501.47</v>
      </c>
      <c r="H138" s="20">
        <v>4.72</v>
      </c>
      <c r="I138" s="20">
        <v>0</v>
      </c>
      <c r="J138" s="20">
        <v>0</v>
      </c>
      <c r="K138" s="3"/>
      <c r="L138" s="3">
        <f t="shared" si="3"/>
        <v>10506.189999999999</v>
      </c>
    </row>
    <row r="139" spans="1:12" ht="19.5" x14ac:dyDescent="0.4">
      <c r="A139" s="5" t="s">
        <v>180</v>
      </c>
      <c r="B139" s="5" t="str">
        <f>VLOOKUP(A139,'[1]تحديث العملاء'!$A:$D,2,0)</f>
        <v>Horeca Smart</v>
      </c>
      <c r="C139" s="5" t="str">
        <f>VLOOKUP(A139,'[1]تحديث العملاء'!$A:$D,3,0)</f>
        <v xml:space="preserve">عملاء كاش </v>
      </c>
      <c r="D139" s="6" t="str">
        <f>VLOOKUP(A139,'09-09'!A:L,4,0)</f>
        <v xml:space="preserve">الدفع الفوري </v>
      </c>
      <c r="E139" s="5" t="str">
        <f>VLOOKUP(A139,'[1]تحديث العملاء'!$A:$D,4,0)</f>
        <v>Shorouk khaled</v>
      </c>
      <c r="F139" s="20">
        <v>0</v>
      </c>
      <c r="G139" s="20">
        <v>0</v>
      </c>
      <c r="H139" s="20">
        <v>10400</v>
      </c>
      <c r="I139" s="20">
        <v>0</v>
      </c>
      <c r="J139" s="20">
        <v>0</v>
      </c>
      <c r="K139" s="5"/>
      <c r="L139" s="3">
        <f t="shared" si="3"/>
        <v>10400</v>
      </c>
    </row>
    <row r="140" spans="1:12" ht="19.5" x14ac:dyDescent="0.4">
      <c r="A140" s="5" t="s">
        <v>184</v>
      </c>
      <c r="B140" s="5" t="str">
        <f>VLOOKUP(A140,'[1]تحديث العملاء'!$A:$D,2,0)</f>
        <v>Horeca Smart</v>
      </c>
      <c r="C140" s="5" t="str">
        <f>VLOOKUP(A140,'[1]تحديث العملاء'!$A:$D,3,0)</f>
        <v xml:space="preserve">عملاء كاش </v>
      </c>
      <c r="D140" s="6" t="str">
        <f>VLOOKUP(A140,'09-09'!A:L,4,0)</f>
        <v xml:space="preserve">الدفع الفوري </v>
      </c>
      <c r="E140" s="5" t="str">
        <f>VLOOKUP(A140,'[1]تحديث العملاء'!$A:$D,4,0)</f>
        <v>Reham Maher</v>
      </c>
      <c r="F140" s="20">
        <v>0</v>
      </c>
      <c r="G140" s="20">
        <v>0</v>
      </c>
      <c r="H140" s="20">
        <v>0</v>
      </c>
      <c r="I140" s="20">
        <v>0</v>
      </c>
      <c r="J140" s="20">
        <v>10028.290000000001</v>
      </c>
      <c r="K140" s="5"/>
      <c r="L140" s="3">
        <f t="shared" si="3"/>
        <v>10028.290000000001</v>
      </c>
    </row>
    <row r="141" spans="1:12" ht="19.5" x14ac:dyDescent="0.4">
      <c r="A141" s="5" t="s">
        <v>374</v>
      </c>
      <c r="B141" s="5" t="str">
        <f>VLOOKUP(A141,'[1]تحديث العملاء'!$A:$D,2,0)</f>
        <v>MAS</v>
      </c>
      <c r="C141" s="5" t="str">
        <f>VLOOKUP(A141,'[1]تحديث العملاء'!$A:$D,3,0)</f>
        <v xml:space="preserve">عملاء كاش </v>
      </c>
      <c r="D141" s="6" t="e">
        <f>VLOOKUP(A141,'09-09'!A:L,4,0)</f>
        <v>#N/A</v>
      </c>
      <c r="E141" s="5" t="str">
        <f>VLOOKUP(A141,'[1]تحديث العملاء'!$A:$D,4,0)</f>
        <v>Haddil Haron</v>
      </c>
      <c r="F141" s="20">
        <v>0</v>
      </c>
      <c r="G141" s="20">
        <v>10021.15</v>
      </c>
      <c r="H141" s="20">
        <v>-0.47</v>
      </c>
      <c r="I141" s="20">
        <v>0</v>
      </c>
      <c r="J141" s="20">
        <v>1</v>
      </c>
      <c r="K141" s="5"/>
      <c r="L141" s="3">
        <f t="shared" si="3"/>
        <v>10021.68</v>
      </c>
    </row>
    <row r="142" spans="1:12" ht="19.5" x14ac:dyDescent="0.4">
      <c r="A142" s="8" t="s">
        <v>365</v>
      </c>
      <c r="B142" s="5" t="str">
        <f>VLOOKUP(A142,'[1]تحديث العملاء'!$A:$D,2,0)</f>
        <v>Horeca Smart</v>
      </c>
      <c r="C142" s="5" t="str">
        <f>VLOOKUP(A142,'[1]تحديث العملاء'!$A:$D,3,0)</f>
        <v>عملاء اجل</v>
      </c>
      <c r="D142" s="6" t="e">
        <f>VLOOKUP(A142,'09-09'!A:L,4,0)</f>
        <v>#N/A</v>
      </c>
      <c r="E142" s="5" t="str">
        <f>VLOOKUP(A142,'[1]تحديث العملاء'!$A:$D,4,0)</f>
        <v>Reham Maher</v>
      </c>
      <c r="F142" s="20">
        <v>9303</v>
      </c>
      <c r="G142" s="20">
        <v>0</v>
      </c>
      <c r="H142" s="20">
        <v>0</v>
      </c>
      <c r="I142" s="20">
        <v>0</v>
      </c>
      <c r="J142" s="20">
        <v>0</v>
      </c>
      <c r="K142" s="3"/>
      <c r="L142" s="3">
        <f t="shared" si="3"/>
        <v>9303</v>
      </c>
    </row>
    <row r="143" spans="1:12" ht="19.5" x14ac:dyDescent="0.4">
      <c r="A143" s="8" t="s">
        <v>311</v>
      </c>
      <c r="B143" s="5" t="str">
        <f>VLOOKUP(A143,'[1]تحديث العملاء'!$A:$D,2,0)</f>
        <v>Horeca Smart</v>
      </c>
      <c r="C143" s="5" t="str">
        <f>VLOOKUP(A143,'[1]تحديث العملاء'!$A:$D,3,0)</f>
        <v xml:space="preserve">عملاء كاش </v>
      </c>
      <c r="D143" s="6" t="str">
        <f>VLOOKUP(A143,'09-09'!A:L,4,0)</f>
        <v xml:space="preserve">الدفع الفوري </v>
      </c>
      <c r="E143" s="5" t="str">
        <f>VLOOKUP(A143,'[1]تحديث العملاء'!$A:$D,4,0)</f>
        <v>Reham Maher</v>
      </c>
      <c r="F143" s="20">
        <v>0</v>
      </c>
      <c r="G143" s="20">
        <v>9297</v>
      </c>
      <c r="H143" s="20">
        <v>0</v>
      </c>
      <c r="I143" s="20">
        <v>0</v>
      </c>
      <c r="J143" s="20">
        <v>0</v>
      </c>
      <c r="K143" s="3"/>
      <c r="L143" s="3">
        <f t="shared" si="3"/>
        <v>9297</v>
      </c>
    </row>
    <row r="144" spans="1:12" ht="19.5" x14ac:dyDescent="0.4">
      <c r="A144" s="8" t="s">
        <v>189</v>
      </c>
      <c r="B144" s="5" t="str">
        <f>VLOOKUP(A144,'[1]تحديث العملاء'!$A:$D,2,0)</f>
        <v>Horeca Smart</v>
      </c>
      <c r="C144" s="5" t="str">
        <f>VLOOKUP(A144,'[1]تحديث العملاء'!$A:$D,3,0)</f>
        <v xml:space="preserve">عملاء كاش </v>
      </c>
      <c r="D144" s="6" t="str">
        <f>VLOOKUP(A144,'09-09'!A:L,4,0)</f>
        <v xml:space="preserve">الدفع الفوري </v>
      </c>
      <c r="E144" s="5" t="str">
        <f>VLOOKUP(A144,'[1]تحديث العملاء'!$A:$D,4,0)</f>
        <v>Naden Amgad</v>
      </c>
      <c r="F144" s="20">
        <v>0</v>
      </c>
      <c r="G144" s="20">
        <v>0</v>
      </c>
      <c r="H144" s="20">
        <v>0</v>
      </c>
      <c r="I144" s="20">
        <v>0</v>
      </c>
      <c r="J144" s="20">
        <v>9288.7999999999993</v>
      </c>
      <c r="K144" s="3"/>
      <c r="L144" s="3">
        <f t="shared" si="3"/>
        <v>9288.7999999999993</v>
      </c>
    </row>
    <row r="145" spans="1:12" ht="19.5" x14ac:dyDescent="0.4">
      <c r="A145" s="5" t="s">
        <v>286</v>
      </c>
      <c r="B145" s="5" t="str">
        <f>VLOOKUP(A145,'[1]تحديث العملاء'!$A:$D,2,0)</f>
        <v>Horeca Smart</v>
      </c>
      <c r="C145" s="5" t="str">
        <f>VLOOKUP(A145,'[1]تحديث العملاء'!$A:$D,3,0)</f>
        <v xml:space="preserve">عملاء كاش </v>
      </c>
      <c r="D145" s="6" t="str">
        <f>VLOOKUP(A145,'09-09'!A:L,4,0)</f>
        <v xml:space="preserve">الدفع الفوري </v>
      </c>
      <c r="E145" s="5" t="str">
        <f>VLOOKUP(A145,'[1]تحديث العملاء'!$A:$D,4,0)</f>
        <v>Mona Mohamed</v>
      </c>
      <c r="F145" s="20">
        <v>0</v>
      </c>
      <c r="G145" s="20">
        <v>9191</v>
      </c>
      <c r="H145" s="20">
        <v>0</v>
      </c>
      <c r="I145" s="20">
        <v>0</v>
      </c>
      <c r="J145" s="20">
        <v>0</v>
      </c>
      <c r="K145" s="5"/>
      <c r="L145" s="3">
        <f t="shared" si="3"/>
        <v>9191</v>
      </c>
    </row>
    <row r="146" spans="1:12" ht="19.5" x14ac:dyDescent="0.4">
      <c r="A146" s="8" t="s">
        <v>191</v>
      </c>
      <c r="B146" s="5" t="str">
        <f>VLOOKUP(A146,'[1]تحديث العملاء'!$A:$D,2,0)</f>
        <v>Horeca Smart</v>
      </c>
      <c r="C146" s="5" t="str">
        <f>VLOOKUP(A146,'[1]تحديث العملاء'!$A:$D,3,0)</f>
        <v>عملاء اجل</v>
      </c>
      <c r="D146" s="6" t="str">
        <f>VLOOKUP(A146,'09-09'!A:L,4,0)</f>
        <v>15 يوماً</v>
      </c>
      <c r="E146" s="5" t="str">
        <f>VLOOKUP(A146,'[1]تحديث العملاء'!$A:$D,4,0)</f>
        <v>Mona Mohamed</v>
      </c>
      <c r="F146" s="20">
        <v>0</v>
      </c>
      <c r="G146" s="20">
        <v>0</v>
      </c>
      <c r="H146" s="20">
        <v>0</v>
      </c>
      <c r="I146" s="20">
        <v>0</v>
      </c>
      <c r="J146" s="20">
        <v>9132.3700000000008</v>
      </c>
      <c r="K146" s="3"/>
      <c r="L146" s="3">
        <f t="shared" si="3"/>
        <v>9132.3700000000008</v>
      </c>
    </row>
    <row r="147" spans="1:12" ht="19.5" x14ac:dyDescent="0.4">
      <c r="A147" s="5" t="s">
        <v>93</v>
      </c>
      <c r="B147" s="5" t="str">
        <f>VLOOKUP(A147,'[1]تحديث العملاء'!$A:$D,2,0)</f>
        <v>Horeca Smart</v>
      </c>
      <c r="C147" s="5" t="str">
        <f>VLOOKUP(A147,'[1]تحديث العملاء'!$A:$D,3,0)</f>
        <v xml:space="preserve">عملاء كاش </v>
      </c>
      <c r="D147" s="6" t="str">
        <f>VLOOKUP(A147,'09-09'!A:L,4,0)</f>
        <v xml:space="preserve">الدفع الفوري </v>
      </c>
      <c r="E147" s="5" t="str">
        <f>VLOOKUP(A147,'[1]تحديث العملاء'!$A:$D,4,0)</f>
        <v>Naden Amgad</v>
      </c>
      <c r="F147" s="20">
        <v>0</v>
      </c>
      <c r="G147" s="20">
        <v>8085.31</v>
      </c>
      <c r="H147" s="20">
        <v>0</v>
      </c>
      <c r="I147" s="20">
        <v>0</v>
      </c>
      <c r="J147" s="20">
        <v>989.75</v>
      </c>
      <c r="K147" s="5"/>
      <c r="L147" s="3">
        <f t="shared" si="3"/>
        <v>9075.0600000000013</v>
      </c>
    </row>
    <row r="148" spans="1:12" ht="19.5" x14ac:dyDescent="0.4">
      <c r="A148" s="8" t="s">
        <v>194</v>
      </c>
      <c r="B148" s="5" t="str">
        <f>VLOOKUP(A148,'[1]تحديث العملاء'!$A:$D,2,0)</f>
        <v>MAS</v>
      </c>
      <c r="C148" s="5" t="str">
        <f>VLOOKUP(A148,'[1]تحديث العملاء'!$A:$D,3,0)</f>
        <v>عملاء اجل</v>
      </c>
      <c r="D148" s="6" t="str">
        <f>VLOOKUP(A148,'09-09'!A:L,4,0)</f>
        <v>30 يوماً</v>
      </c>
      <c r="E148" s="5" t="str">
        <f>VLOOKUP(A148,'[1]تحديث العملاء'!$A:$D,4,0)</f>
        <v>Haddil Haron</v>
      </c>
      <c r="F148" s="20">
        <v>15475</v>
      </c>
      <c r="G148" s="20">
        <v>-7050</v>
      </c>
      <c r="H148" s="20">
        <v>0</v>
      </c>
      <c r="I148" s="20">
        <v>-3618.85</v>
      </c>
      <c r="J148" s="20">
        <v>3617.47</v>
      </c>
      <c r="K148" s="3"/>
      <c r="L148" s="3">
        <f t="shared" si="3"/>
        <v>8423.619999999999</v>
      </c>
    </row>
    <row r="149" spans="1:12" ht="19.5" x14ac:dyDescent="0.4">
      <c r="A149" s="8" t="s">
        <v>156</v>
      </c>
      <c r="B149" s="5" t="str">
        <f>VLOOKUP(A149,'[1]تحديث العملاء'!$A:$D,2,0)</f>
        <v>Horeca Smart</v>
      </c>
      <c r="C149" s="5" t="str">
        <f>VLOOKUP(A149,'[1]تحديث العملاء'!$A:$D,3,0)</f>
        <v xml:space="preserve">عملاء كاش </v>
      </c>
      <c r="D149" s="6" t="str">
        <f>VLOOKUP(A149,'09-09'!A:L,4,0)</f>
        <v xml:space="preserve">الدفع الفوري </v>
      </c>
      <c r="E149" s="5" t="str">
        <f>VLOOKUP(A149,'[1]تحديث العملاء'!$A:$D,4,0)</f>
        <v>Lames Magdy</v>
      </c>
      <c r="F149" s="20">
        <v>0</v>
      </c>
      <c r="G149" s="20">
        <v>318.13</v>
      </c>
      <c r="H149" s="20">
        <v>1.25</v>
      </c>
      <c r="I149" s="20">
        <v>0</v>
      </c>
      <c r="J149" s="20">
        <v>7719</v>
      </c>
      <c r="K149" s="3"/>
      <c r="L149" s="3">
        <f t="shared" si="3"/>
        <v>8038.38</v>
      </c>
    </row>
    <row r="150" spans="1:12" ht="19.5" x14ac:dyDescent="0.4">
      <c r="A150" s="8" t="s">
        <v>196</v>
      </c>
      <c r="B150" s="5" t="str">
        <f>VLOOKUP(A150,'[1]تحديث العملاء'!$A:$D,2,0)</f>
        <v>Horeca Smart</v>
      </c>
      <c r="C150" s="5" t="str">
        <f>VLOOKUP(A150,'[1]تحديث العملاء'!$A:$D,3,0)</f>
        <v xml:space="preserve">عملاء كاش </v>
      </c>
      <c r="D150" s="6" t="str">
        <f>VLOOKUP(A150,'09-09'!A:L,4,0)</f>
        <v xml:space="preserve">الدفع الفوري </v>
      </c>
      <c r="E150" s="5" t="str">
        <f>VLOOKUP(A150,'[1]تحديث العملاء'!$A:$D,4,0)</f>
        <v>Donia Khaled</v>
      </c>
      <c r="F150" s="20">
        <v>0</v>
      </c>
      <c r="G150" s="20">
        <v>0</v>
      </c>
      <c r="H150" s="20">
        <v>0</v>
      </c>
      <c r="I150" s="20">
        <v>0</v>
      </c>
      <c r="J150" s="20">
        <v>7925</v>
      </c>
      <c r="K150" s="3"/>
      <c r="L150" s="3">
        <f t="shared" si="3"/>
        <v>7925</v>
      </c>
    </row>
    <row r="151" spans="1:12" ht="19.5" x14ac:dyDescent="0.4">
      <c r="A151" s="8" t="s">
        <v>197</v>
      </c>
      <c r="B151" s="5" t="str">
        <f>VLOOKUP(A151,'[1]تحديث العملاء'!$A:$D,2,0)</f>
        <v>MAS</v>
      </c>
      <c r="C151" s="5" t="str">
        <f>VLOOKUP(A151,'[1]تحديث العملاء'!$A:$D,3,0)</f>
        <v>عملاء اجل</v>
      </c>
      <c r="D151" s="6" t="str">
        <f>VLOOKUP(A151,'09-09'!A:L,4,0)</f>
        <v>30 يوماً</v>
      </c>
      <c r="E151" s="5" t="str">
        <f>VLOOKUP(A151,'[1]تحديث العملاء'!$A:$D,4,0)</f>
        <v>Lames Magdy</v>
      </c>
      <c r="F151" s="20">
        <v>0</v>
      </c>
      <c r="G151" s="20">
        <v>0</v>
      </c>
      <c r="H151" s="20">
        <v>0</v>
      </c>
      <c r="I151" s="20">
        <v>0</v>
      </c>
      <c r="J151" s="20">
        <v>7908.63</v>
      </c>
      <c r="K151" s="3"/>
      <c r="L151" s="3">
        <f t="shared" si="3"/>
        <v>7908.63</v>
      </c>
    </row>
    <row r="152" spans="1:12" ht="19.5" x14ac:dyDescent="0.4">
      <c r="A152" s="8" t="s">
        <v>198</v>
      </c>
      <c r="B152" s="5" t="str">
        <f>VLOOKUP(A152,'[1]تحديث العملاء'!$A:$D,2,0)</f>
        <v>Horeca Smart</v>
      </c>
      <c r="C152" s="5" t="str">
        <f>VLOOKUP(A152,'[1]تحديث العملاء'!$A:$D,3,0)</f>
        <v xml:space="preserve">عملاء كاش </v>
      </c>
      <c r="D152" s="6" t="str">
        <f>VLOOKUP(A152,'09-09'!A:L,4,0)</f>
        <v xml:space="preserve">الدفع الفوري </v>
      </c>
      <c r="E152" s="5" t="str">
        <f>VLOOKUP(A152,'[1]تحديث العملاء'!$A:$D,4,0)</f>
        <v>Naden Amgad</v>
      </c>
      <c r="F152" s="20">
        <v>0</v>
      </c>
      <c r="G152" s="20">
        <v>0</v>
      </c>
      <c r="H152" s="20">
        <v>0</v>
      </c>
      <c r="I152" s="20">
        <v>0</v>
      </c>
      <c r="J152" s="20">
        <v>7821.78</v>
      </c>
      <c r="K152" s="3"/>
      <c r="L152" s="3">
        <f t="shared" si="3"/>
        <v>7821.78</v>
      </c>
    </row>
    <row r="153" spans="1:12" ht="19.5" x14ac:dyDescent="0.4">
      <c r="A153" s="8" t="s">
        <v>332</v>
      </c>
      <c r="B153" s="5" t="str">
        <f>VLOOKUP(A153,'[1]تحديث العملاء'!$A:$D,2,0)</f>
        <v>MAS</v>
      </c>
      <c r="C153" s="5" t="str">
        <f>VLOOKUP(A153,'[1]تحديث العملاء'!$A:$D,3,0)</f>
        <v>عملاء اجل</v>
      </c>
      <c r="D153" s="6" t="e">
        <f>VLOOKUP(A153,'09-09'!A:L,4,0)</f>
        <v>#N/A</v>
      </c>
      <c r="E153" s="5" t="str">
        <f>VLOOKUP(A153,'[1]تحديث العملاء'!$A:$D,4,0)</f>
        <v>Haddil Haron</v>
      </c>
      <c r="F153" s="20">
        <v>7800</v>
      </c>
      <c r="G153" s="20">
        <v>0</v>
      </c>
      <c r="H153" s="20">
        <v>3.37</v>
      </c>
      <c r="I153" s="20">
        <v>0</v>
      </c>
      <c r="J153" s="20">
        <v>0</v>
      </c>
      <c r="K153" s="3"/>
      <c r="L153" s="3">
        <f t="shared" si="3"/>
        <v>7803.37</v>
      </c>
    </row>
    <row r="154" spans="1:12" ht="19.5" x14ac:dyDescent="0.4">
      <c r="A154" s="5" t="s">
        <v>199</v>
      </c>
      <c r="B154" s="5" t="str">
        <f>VLOOKUP(A154,'[1]تحديث العملاء'!$A:$D,2,0)</f>
        <v>MAS</v>
      </c>
      <c r="C154" s="5" t="str">
        <f>VLOOKUP(A154,'[1]تحديث العملاء'!$A:$D,3,0)</f>
        <v>عميل - مورد</v>
      </c>
      <c r="D154" s="6" t="str">
        <f>VLOOKUP(A154,'09-09'!A:L,4,0)</f>
        <v>30 يوماً</v>
      </c>
      <c r="E154" s="5" t="str">
        <f>VLOOKUP(A154,'[1]تحديث العملاء'!$A:$D,4,0)</f>
        <v>Haddil Haron</v>
      </c>
      <c r="F154" s="20">
        <v>0</v>
      </c>
      <c r="G154" s="20">
        <v>0</v>
      </c>
      <c r="H154" s="20">
        <v>7507.25</v>
      </c>
      <c r="I154" s="20">
        <v>0</v>
      </c>
      <c r="J154" s="20">
        <v>0</v>
      </c>
      <c r="K154" s="5"/>
      <c r="L154" s="3">
        <f t="shared" si="3"/>
        <v>7507.25</v>
      </c>
    </row>
    <row r="155" spans="1:12" ht="19.5" x14ac:dyDescent="0.4">
      <c r="A155" s="8" t="s">
        <v>326</v>
      </c>
      <c r="B155" s="5" t="str">
        <f>VLOOKUP(A155,'[1]تحديث العملاء'!$A:$D,2,0)</f>
        <v>Horeca Smart</v>
      </c>
      <c r="C155" s="5" t="str">
        <f>VLOOKUP(A155,'[1]تحديث العملاء'!$A:$D,3,0)</f>
        <v xml:space="preserve">عملاء كاش </v>
      </c>
      <c r="D155" s="6" t="str">
        <f>VLOOKUP(A155,'09-09'!A:L,4,0)</f>
        <v xml:space="preserve">الدفع الفوري </v>
      </c>
      <c r="E155" s="5" t="str">
        <f>VLOOKUP(A155,'[1]تحديث العملاء'!$A:$D,4,0)</f>
        <v>Donia Khaled</v>
      </c>
      <c r="F155" s="20">
        <v>0</v>
      </c>
      <c r="G155" s="20">
        <v>7374.5</v>
      </c>
      <c r="H155" s="20">
        <v>0</v>
      </c>
      <c r="I155" s="20">
        <v>0</v>
      </c>
      <c r="J155" s="20">
        <v>0</v>
      </c>
      <c r="K155" s="3"/>
      <c r="L155" s="3">
        <f t="shared" si="3"/>
        <v>7374.5</v>
      </c>
    </row>
    <row r="156" spans="1:12" ht="19.5" x14ac:dyDescent="0.4">
      <c r="A156" s="5" t="s">
        <v>317</v>
      </c>
      <c r="B156" s="5" t="str">
        <f>VLOOKUP(A156,'[1]تحديث العملاء'!$A:$D,2,0)</f>
        <v>Horeca Smart</v>
      </c>
      <c r="C156" s="5" t="str">
        <f>VLOOKUP(A156,'[1]تحديث العملاء'!$A:$D,3,0)</f>
        <v xml:space="preserve">عملاء كاش </v>
      </c>
      <c r="D156" s="6" t="str">
        <f>VLOOKUP(A156,'09-09'!A:L,4,0)</f>
        <v xml:space="preserve">الدفع الفوري </v>
      </c>
      <c r="E156" s="5" t="str">
        <f>VLOOKUP(A156,'[1]تحديث العملاء'!$A:$D,4,0)</f>
        <v>Naden Amgad</v>
      </c>
      <c r="F156" s="20">
        <v>0</v>
      </c>
      <c r="G156" s="20">
        <v>7260.53</v>
      </c>
      <c r="H156" s="20">
        <v>1.92</v>
      </c>
      <c r="I156" s="20">
        <v>0</v>
      </c>
      <c r="J156" s="20">
        <v>0</v>
      </c>
      <c r="K156" s="5"/>
      <c r="L156" s="3">
        <f t="shared" si="3"/>
        <v>7262.45</v>
      </c>
    </row>
    <row r="157" spans="1:12" ht="19.5" x14ac:dyDescent="0.4">
      <c r="A157" s="8" t="s">
        <v>339</v>
      </c>
      <c r="B157" s="5" t="str">
        <f>VLOOKUP(A157,'[1]تحديث العملاء'!$A:$D,2,0)</f>
        <v>Horeca Smart</v>
      </c>
      <c r="C157" s="5" t="str">
        <f>VLOOKUP(A157,'[1]تحديث العملاء'!$A:$D,3,0)</f>
        <v xml:space="preserve">عملاء كاش </v>
      </c>
      <c r="D157" s="6" t="e">
        <f>VLOOKUP(A157,'09-09'!A:L,4,0)</f>
        <v>#N/A</v>
      </c>
      <c r="E157" s="5" t="str">
        <f>VLOOKUP(A157,'[1]تحديث العملاء'!$A:$D,4,0)</f>
        <v>Lames Magdy</v>
      </c>
      <c r="F157" s="20">
        <v>0</v>
      </c>
      <c r="G157" s="20">
        <v>7027.25</v>
      </c>
      <c r="H157" s="20">
        <v>-1.45</v>
      </c>
      <c r="I157" s="20">
        <v>0</v>
      </c>
      <c r="J157" s="20">
        <v>0</v>
      </c>
      <c r="K157" s="3"/>
      <c r="L157" s="3">
        <f t="shared" si="3"/>
        <v>7025.8</v>
      </c>
    </row>
    <row r="158" spans="1:12" ht="19.5" x14ac:dyDescent="0.4">
      <c r="A158" s="8" t="s">
        <v>200</v>
      </c>
      <c r="B158" s="5" t="str">
        <f>VLOOKUP(A158,'[1]تحديث العملاء'!$A:$D,2,0)</f>
        <v>Horeca Smart</v>
      </c>
      <c r="C158" s="5" t="str">
        <f>VLOOKUP(A158,'[1]تحديث العملاء'!$A:$D,3,0)</f>
        <v xml:space="preserve">عملاء كاش </v>
      </c>
      <c r="D158" s="6" t="str">
        <f>VLOOKUP(A158,'09-09'!A:L,4,0)</f>
        <v xml:space="preserve">الدفع الفوري </v>
      </c>
      <c r="E158" s="5" t="str">
        <f>VLOOKUP(A158,'[1]تحديث العملاء'!$A:$D,4,0)</f>
        <v>Lames Magdy</v>
      </c>
      <c r="F158" s="20">
        <v>0</v>
      </c>
      <c r="G158" s="20">
        <v>0</v>
      </c>
      <c r="H158" s="20">
        <v>7010</v>
      </c>
      <c r="I158" s="20">
        <v>0</v>
      </c>
      <c r="J158" s="20">
        <v>0</v>
      </c>
      <c r="K158" s="3"/>
      <c r="L158" s="3">
        <f t="shared" si="3"/>
        <v>7010</v>
      </c>
    </row>
    <row r="159" spans="1:12" ht="19.5" x14ac:dyDescent="0.4">
      <c r="A159" s="8" t="s">
        <v>203</v>
      </c>
      <c r="B159" s="5" t="str">
        <f>VLOOKUP(A159,'[1]تحديث العملاء'!$A:$D,2,0)</f>
        <v>Horeca Smart</v>
      </c>
      <c r="C159" s="5" t="str">
        <f>VLOOKUP(A159,'[1]تحديث العملاء'!$A:$D,3,0)</f>
        <v xml:space="preserve">عملاء كاش </v>
      </c>
      <c r="D159" s="6" t="str">
        <f>VLOOKUP(A159,'09-09'!A:L,4,0)</f>
        <v xml:space="preserve">الدفع الفوري </v>
      </c>
      <c r="E159" s="5" t="str">
        <f>VLOOKUP(A159,'[1]تحديث العملاء'!$A:$D,4,0)</f>
        <v>Naden Amgad</v>
      </c>
      <c r="F159" s="20">
        <v>0</v>
      </c>
      <c r="G159" s="20">
        <v>0</v>
      </c>
      <c r="H159" s="20">
        <v>0</v>
      </c>
      <c r="I159" s="20">
        <v>0</v>
      </c>
      <c r="J159" s="20">
        <v>6524.1</v>
      </c>
      <c r="K159" s="3"/>
      <c r="L159" s="3">
        <f t="shared" si="3"/>
        <v>6524.1</v>
      </c>
    </row>
    <row r="160" spans="1:12" ht="19.5" x14ac:dyDescent="0.4">
      <c r="A160" s="5" t="s">
        <v>204</v>
      </c>
      <c r="B160" s="5" t="str">
        <f>VLOOKUP(A160,'[1]تحديث العملاء'!$A:$D,2,0)</f>
        <v>Horeca Smart</v>
      </c>
      <c r="C160" s="5" t="str">
        <f>VLOOKUP(A160,'[1]تحديث العملاء'!$A:$D,3,0)</f>
        <v xml:space="preserve">عملاء كاش </v>
      </c>
      <c r="D160" s="6" t="str">
        <f>VLOOKUP(A160,'09-09'!A:L,4,0)</f>
        <v xml:space="preserve">الدفع الفوري </v>
      </c>
      <c r="E160" s="5" t="str">
        <f>VLOOKUP(A160,'[1]تحديث العملاء'!$A:$D,4,0)</f>
        <v>Mona Mohamed</v>
      </c>
      <c r="F160" s="20">
        <v>0</v>
      </c>
      <c r="G160" s="20">
        <v>0</v>
      </c>
      <c r="H160" s="20">
        <v>0</v>
      </c>
      <c r="I160" s="20">
        <v>0</v>
      </c>
      <c r="J160" s="20">
        <v>6350</v>
      </c>
      <c r="K160" s="5"/>
      <c r="L160" s="3">
        <f t="shared" si="3"/>
        <v>6350</v>
      </c>
    </row>
    <row r="161" spans="1:12" ht="19.5" x14ac:dyDescent="0.4">
      <c r="A161" s="8" t="s">
        <v>205</v>
      </c>
      <c r="B161" s="5" t="str">
        <f>VLOOKUP(A161,'[1]تحديث العملاء'!$A:$D,2,0)</f>
        <v>Horeca Smart</v>
      </c>
      <c r="C161" s="5" t="str">
        <f>VLOOKUP(A161,'[1]تحديث العملاء'!$A:$D,3,0)</f>
        <v xml:space="preserve">عملاء كاش </v>
      </c>
      <c r="D161" s="6" t="str">
        <f>VLOOKUP(A161,'09-09'!A:L,4,0)</f>
        <v xml:space="preserve">الدفع الفوري </v>
      </c>
      <c r="E161" s="5" t="str">
        <f>VLOOKUP(A161,'[1]تحديث العملاء'!$A:$D,4,0)</f>
        <v>Mona Mohamed</v>
      </c>
      <c r="F161" s="20">
        <v>0</v>
      </c>
      <c r="G161" s="20">
        <v>0</v>
      </c>
      <c r="H161" s="20">
        <v>0</v>
      </c>
      <c r="I161" s="20">
        <v>1.22</v>
      </c>
      <c r="J161" s="20">
        <v>6308.58</v>
      </c>
      <c r="K161" s="3"/>
      <c r="L161" s="3">
        <f t="shared" si="3"/>
        <v>6309.8</v>
      </c>
    </row>
    <row r="162" spans="1:12" ht="19.5" x14ac:dyDescent="0.4">
      <c r="A162" s="8" t="s">
        <v>327</v>
      </c>
      <c r="B162" s="5" t="str">
        <f>VLOOKUP(A162,'[1]تحديث العملاء'!$A:$D,2,0)</f>
        <v>Horeca Smart</v>
      </c>
      <c r="C162" s="5" t="str">
        <f>VLOOKUP(A162,'[1]تحديث العملاء'!$A:$D,3,0)</f>
        <v xml:space="preserve">عملاء كاش </v>
      </c>
      <c r="D162" s="6" t="e">
        <f>VLOOKUP(A162,'09-09'!A:L,4,0)</f>
        <v>#N/A</v>
      </c>
      <c r="E162" s="5" t="str">
        <f>VLOOKUP(A162,'[1]تحديث العملاء'!$A:$D,4,0)</f>
        <v>Lames Magdy</v>
      </c>
      <c r="F162" s="20">
        <v>0</v>
      </c>
      <c r="G162" s="20">
        <v>6255.3</v>
      </c>
      <c r="H162" s="20">
        <v>41.05</v>
      </c>
      <c r="I162" s="20">
        <v>0</v>
      </c>
      <c r="J162" s="20">
        <v>-41.05</v>
      </c>
      <c r="K162" s="3"/>
      <c r="L162" s="3">
        <f t="shared" si="3"/>
        <v>6255.3</v>
      </c>
    </row>
    <row r="163" spans="1:12" ht="19.5" x14ac:dyDescent="0.4">
      <c r="A163" s="5" t="s">
        <v>206</v>
      </c>
      <c r="B163" s="5" t="str">
        <f>VLOOKUP(A163,'[1]تحديث العملاء'!$A:$D,2,0)</f>
        <v>Horeca Smart</v>
      </c>
      <c r="C163" s="5" t="str">
        <f>VLOOKUP(A163,'[1]تحديث العملاء'!$A:$D,3,0)</f>
        <v xml:space="preserve">عملاء كاش </v>
      </c>
      <c r="D163" s="6" t="str">
        <f>VLOOKUP(A163,'09-09'!A:L,4,0)</f>
        <v xml:space="preserve">الدفع الفوري </v>
      </c>
      <c r="E163" s="5" t="str">
        <f>VLOOKUP(A163,'[1]تحديث العملاء'!$A:$D,4,0)</f>
        <v>Lames Magdy</v>
      </c>
      <c r="F163" s="20">
        <v>0</v>
      </c>
      <c r="G163" s="20">
        <v>0</v>
      </c>
      <c r="H163" s="20">
        <v>0</v>
      </c>
      <c r="I163" s="20">
        <v>0</v>
      </c>
      <c r="J163" s="20">
        <v>5778.44</v>
      </c>
      <c r="K163" s="5"/>
      <c r="L163" s="3">
        <f t="shared" si="3"/>
        <v>5778.44</v>
      </c>
    </row>
    <row r="164" spans="1:12" ht="19.5" x14ac:dyDescent="0.4">
      <c r="A164" s="8" t="s">
        <v>355</v>
      </c>
      <c r="B164" s="5" t="str">
        <f>VLOOKUP(A164,'[1]تحديث العملاء'!$A:$D,2,0)</f>
        <v>Horeca Smart</v>
      </c>
      <c r="C164" s="5" t="str">
        <f>VLOOKUP(A164,'[1]تحديث العملاء'!$A:$D,3,0)</f>
        <v xml:space="preserve">عملاء كاش </v>
      </c>
      <c r="D164" s="6" t="e">
        <f>VLOOKUP(A164,'09-09'!A:L,4,0)</f>
        <v>#N/A</v>
      </c>
      <c r="E164" s="5" t="str">
        <f>VLOOKUP(A164,'[1]تحديث العملاء'!$A:$D,4,0)</f>
        <v>Mona Mohamed</v>
      </c>
      <c r="F164" s="20">
        <v>0</v>
      </c>
      <c r="G164" s="20">
        <v>5700</v>
      </c>
      <c r="H164" s="20">
        <v>0</v>
      </c>
      <c r="I164" s="20">
        <v>0</v>
      </c>
      <c r="J164" s="20">
        <v>0</v>
      </c>
      <c r="K164" s="3"/>
      <c r="L164" s="3">
        <f t="shared" si="3"/>
        <v>5700</v>
      </c>
    </row>
    <row r="165" spans="1:12" ht="19.5" x14ac:dyDescent="0.4">
      <c r="A165" s="5" t="s">
        <v>335</v>
      </c>
      <c r="B165" s="5" t="str">
        <f>VLOOKUP(A165,'[1]تحديث العملاء'!$A:$D,2,0)</f>
        <v>Horeca Smart</v>
      </c>
      <c r="C165" s="5" t="str">
        <f>VLOOKUP(A165,'[1]تحديث العملاء'!$A:$D,3,0)</f>
        <v xml:space="preserve">عملاء كاش </v>
      </c>
      <c r="D165" s="6" t="e">
        <f>VLOOKUP(A165,'09-09'!A:L,4,0)</f>
        <v>#N/A</v>
      </c>
      <c r="E165" s="5" t="str">
        <f>VLOOKUP(A165,'[1]تحديث العملاء'!$A:$D,4,0)</f>
        <v>Naden Amgad</v>
      </c>
      <c r="F165" s="20">
        <v>0</v>
      </c>
      <c r="G165" s="20">
        <v>5588.7</v>
      </c>
      <c r="H165" s="20">
        <v>0</v>
      </c>
      <c r="I165" s="20">
        <v>0</v>
      </c>
      <c r="J165" s="20">
        <v>0</v>
      </c>
      <c r="K165" s="5"/>
      <c r="L165" s="3">
        <f t="shared" si="3"/>
        <v>5588.7</v>
      </c>
    </row>
    <row r="166" spans="1:12" ht="19.5" x14ac:dyDescent="0.4">
      <c r="A166" s="5" t="s">
        <v>318</v>
      </c>
      <c r="B166" s="5" t="e">
        <f>VLOOKUP(A166,'[1]تحديث العملاء'!$A:$D,2,0)</f>
        <v>#N/A</v>
      </c>
      <c r="C166" s="5" t="e">
        <f>VLOOKUP(A166,'[1]تحديث العملاء'!$A:$D,3,0)</f>
        <v>#N/A</v>
      </c>
      <c r="D166" s="6" t="str">
        <f>VLOOKUP(A166,'09-09'!A:L,4,0)</f>
        <v xml:space="preserve">الدفع الفوري </v>
      </c>
      <c r="E166" s="5" t="e">
        <f>VLOOKUP(A166,'[1]تحديث العملاء'!$A:$D,4,0)</f>
        <v>#N/A</v>
      </c>
      <c r="F166" s="20">
        <v>0</v>
      </c>
      <c r="G166" s="20">
        <v>5500</v>
      </c>
      <c r="H166" s="20">
        <v>0</v>
      </c>
      <c r="I166" s="20">
        <v>0</v>
      </c>
      <c r="J166" s="20">
        <v>0</v>
      </c>
      <c r="K166" s="5"/>
      <c r="L166" s="3">
        <f t="shared" si="3"/>
        <v>5500</v>
      </c>
    </row>
    <row r="167" spans="1:12" ht="19.5" x14ac:dyDescent="0.4">
      <c r="A167" s="8" t="s">
        <v>226</v>
      </c>
      <c r="B167" s="5" t="str">
        <f>VLOOKUP(A167,'[1]تحديث العملاء'!$A:$D,2,0)</f>
        <v>Horeca Smart</v>
      </c>
      <c r="C167" s="5" t="str">
        <f>VLOOKUP(A167,'[1]تحديث العملاء'!$A:$D,3,0)</f>
        <v xml:space="preserve">عملاء كاش </v>
      </c>
      <c r="D167" s="6" t="e">
        <f>VLOOKUP(A167,'09-09'!A:L,4,0)</f>
        <v>#N/A</v>
      </c>
      <c r="E167" s="5" t="str">
        <f>VLOOKUP(A167,'[1]تحديث العملاء'!$A:$D,4,0)</f>
        <v>Mona Mohamed</v>
      </c>
      <c r="F167" s="20">
        <v>0</v>
      </c>
      <c r="G167" s="20">
        <v>5437</v>
      </c>
      <c r="H167" s="20">
        <v>0</v>
      </c>
      <c r="I167" s="20">
        <v>0</v>
      </c>
      <c r="J167" s="20">
        <v>0</v>
      </c>
      <c r="K167" s="3"/>
      <c r="L167" s="3">
        <f t="shared" si="3"/>
        <v>5437</v>
      </c>
    </row>
    <row r="168" spans="1:12" ht="19.5" x14ac:dyDescent="0.4">
      <c r="A168" s="8" t="s">
        <v>375</v>
      </c>
      <c r="B168" s="5" t="str">
        <f>VLOOKUP(A168,'[1]تحديث العملاء'!$A:$D,2,0)</f>
        <v>Horeca Smart</v>
      </c>
      <c r="C168" s="5" t="str">
        <f>VLOOKUP(A168,'[1]تحديث العملاء'!$A:$D,3,0)</f>
        <v xml:space="preserve">عملاء كاش </v>
      </c>
      <c r="D168" s="6" t="e">
        <f>VLOOKUP(A168,'09-09'!A:L,4,0)</f>
        <v>#N/A</v>
      </c>
      <c r="E168" s="5" t="str">
        <f>VLOOKUP(A168,'[1]تحديث العملاء'!$A:$D,4,0)</f>
        <v>Naden Amgad</v>
      </c>
      <c r="F168" s="20">
        <v>0</v>
      </c>
      <c r="G168" s="20">
        <v>5280</v>
      </c>
      <c r="H168" s="20">
        <v>0</v>
      </c>
      <c r="I168" s="20">
        <v>0</v>
      </c>
      <c r="J168" s="20">
        <v>0</v>
      </c>
      <c r="K168" s="3"/>
      <c r="L168" s="3">
        <f t="shared" si="3"/>
        <v>5280</v>
      </c>
    </row>
    <row r="169" spans="1:12" ht="19.5" x14ac:dyDescent="0.4">
      <c r="A169" s="8" t="s">
        <v>105</v>
      </c>
      <c r="B169" s="5" t="str">
        <f>VLOOKUP(A169,'[1]تحديث العملاء'!$A:$D,2,0)</f>
        <v>Horeca Smart</v>
      </c>
      <c r="C169" s="5" t="str">
        <f>VLOOKUP(A169,'[1]تحديث العملاء'!$A:$D,3,0)</f>
        <v xml:space="preserve">عملاء كاش </v>
      </c>
      <c r="D169" s="6" t="str">
        <f>VLOOKUP(A169,'09-09'!A:L,4,0)</f>
        <v xml:space="preserve">الدفع الفوري </v>
      </c>
      <c r="E169" s="5" t="str">
        <f>VLOOKUP(A169,'[1]تحديث العملاء'!$A:$D,4,0)</f>
        <v>Mona Mohamed</v>
      </c>
      <c r="F169" s="20">
        <v>0</v>
      </c>
      <c r="G169" s="20">
        <v>5225</v>
      </c>
      <c r="H169" s="20">
        <v>0</v>
      </c>
      <c r="I169" s="20">
        <v>0</v>
      </c>
      <c r="J169" s="20">
        <v>0</v>
      </c>
      <c r="K169" s="3"/>
      <c r="L169" s="3">
        <f t="shared" si="3"/>
        <v>5225</v>
      </c>
    </row>
    <row r="170" spans="1:12" ht="19.5" x14ac:dyDescent="0.4">
      <c r="A170" s="8" t="s">
        <v>215</v>
      </c>
      <c r="B170" s="5" t="str">
        <f>VLOOKUP(A170,'[1]تحديث العملاء'!$A:$D,2,0)</f>
        <v>Horeca Smart</v>
      </c>
      <c r="C170" s="5" t="str">
        <f>VLOOKUP(A170,'[1]تحديث العملاء'!$A:$D,3,0)</f>
        <v xml:space="preserve">عملاء كاش </v>
      </c>
      <c r="D170" s="6" t="str">
        <f>VLOOKUP(A170,'09-09'!A:L,4,0)</f>
        <v xml:space="preserve">الدفع الفوري </v>
      </c>
      <c r="E170" s="5" t="str">
        <f>VLOOKUP(A170,'[1]تحديث العملاء'!$A:$D,4,0)</f>
        <v>Naden Amgad</v>
      </c>
      <c r="F170" s="20">
        <v>5150</v>
      </c>
      <c r="G170" s="20">
        <v>0</v>
      </c>
      <c r="H170" s="20">
        <v>0</v>
      </c>
      <c r="I170" s="20">
        <v>0</v>
      </c>
      <c r="J170" s="20">
        <v>0</v>
      </c>
      <c r="K170" s="3"/>
      <c r="L170" s="3">
        <f t="shared" si="3"/>
        <v>5150</v>
      </c>
    </row>
    <row r="171" spans="1:12" ht="19.5" x14ac:dyDescent="0.4">
      <c r="A171" s="5" t="s">
        <v>336</v>
      </c>
      <c r="B171" s="5" t="str">
        <f>VLOOKUP(A171,'[1]تحديث العملاء'!$A:$D,2,0)</f>
        <v>Horeca Smart</v>
      </c>
      <c r="C171" s="5" t="str">
        <f>VLOOKUP(A171,'[1]تحديث العملاء'!$A:$D,3,0)</f>
        <v xml:space="preserve">عملاء كاش </v>
      </c>
      <c r="D171" s="6" t="e">
        <f>VLOOKUP(A171,'09-09'!A:L,4,0)</f>
        <v>#N/A</v>
      </c>
      <c r="E171" s="5" t="str">
        <f>VLOOKUP(A171,'[1]تحديث العملاء'!$A:$D,4,0)</f>
        <v>Reham Maher</v>
      </c>
      <c r="F171" s="20">
        <v>0</v>
      </c>
      <c r="G171" s="20">
        <v>6029.44</v>
      </c>
      <c r="H171" s="20">
        <v>0</v>
      </c>
      <c r="I171" s="20">
        <v>0</v>
      </c>
      <c r="J171" s="20">
        <v>-926.5</v>
      </c>
      <c r="K171" s="5"/>
      <c r="L171" s="3">
        <f t="shared" si="3"/>
        <v>5102.9399999999996</v>
      </c>
    </row>
    <row r="172" spans="1:12" ht="19.5" x14ac:dyDescent="0.4">
      <c r="A172" s="5" t="s">
        <v>211</v>
      </c>
      <c r="B172" s="5" t="str">
        <f>VLOOKUP(A172,'[1]تحديث العملاء'!$A:$D,2,0)</f>
        <v>MAS</v>
      </c>
      <c r="C172" s="5" t="str">
        <f>VLOOKUP(A172,'[1]تحديث العملاء'!$A:$D,3,0)</f>
        <v>عميل - مورد</v>
      </c>
      <c r="D172" s="6" t="str">
        <f>VLOOKUP(A172,'09-09'!A:L,4,0)</f>
        <v xml:space="preserve">الدفع الفوري </v>
      </c>
      <c r="E172" s="5" t="str">
        <f>VLOOKUP(A172,'[1]تحديث العملاء'!$A:$D,4,0)</f>
        <v>Amgad Ahmed</v>
      </c>
      <c r="F172" s="20">
        <v>0</v>
      </c>
      <c r="G172" s="20">
        <v>0</v>
      </c>
      <c r="H172" s="20">
        <v>0</v>
      </c>
      <c r="I172" s="20">
        <v>0</v>
      </c>
      <c r="J172" s="20">
        <v>4880</v>
      </c>
      <c r="K172" s="5"/>
      <c r="L172" s="3">
        <f t="shared" si="3"/>
        <v>4880</v>
      </c>
    </row>
    <row r="173" spans="1:12" ht="19.5" x14ac:dyDescent="0.4">
      <c r="A173" s="5" t="s">
        <v>213</v>
      </c>
      <c r="B173" s="5" t="str">
        <f>VLOOKUP(A173,'[1]تحديث العملاء'!$A:$D,2,0)</f>
        <v>Horeca Smart</v>
      </c>
      <c r="C173" s="5" t="str">
        <f>VLOOKUP(A173,'[1]تحديث العملاء'!$A:$D,3,0)</f>
        <v xml:space="preserve">عملاء كاش </v>
      </c>
      <c r="D173" s="6" t="str">
        <f>VLOOKUP(A173,'09-09'!A:L,4,0)</f>
        <v xml:space="preserve">الدفع الفوري </v>
      </c>
      <c r="E173" s="5" t="str">
        <f>VLOOKUP(A173,'[1]تحديث العملاء'!$A:$D,4,0)</f>
        <v>Lames Magdy</v>
      </c>
      <c r="F173" s="20">
        <v>0</v>
      </c>
      <c r="G173" s="20">
        <v>0</v>
      </c>
      <c r="H173" s="20">
        <v>0</v>
      </c>
      <c r="I173" s="20">
        <v>0</v>
      </c>
      <c r="J173" s="20">
        <v>4564.09</v>
      </c>
      <c r="K173" s="5"/>
      <c r="L173" s="3">
        <f t="shared" si="3"/>
        <v>4564.09</v>
      </c>
    </row>
    <row r="174" spans="1:12" ht="19.5" x14ac:dyDescent="0.4">
      <c r="A174" s="8" t="s">
        <v>214</v>
      </c>
      <c r="B174" s="5" t="str">
        <f>VLOOKUP(A174,'[1]تحديث العملاء'!$A:$D,2,0)</f>
        <v>Horeca Smart</v>
      </c>
      <c r="C174" s="5" t="str">
        <f>VLOOKUP(A174,'[1]تحديث العملاء'!$A:$D,3,0)</f>
        <v xml:space="preserve">عملاء كاش </v>
      </c>
      <c r="D174" s="6" t="str">
        <f>VLOOKUP(A174,'09-09'!A:L,4,0)</f>
        <v xml:space="preserve">الدفع الفوري </v>
      </c>
      <c r="E174" s="5" t="str">
        <f>VLOOKUP(A174,'[1]تحديث العملاء'!$A:$D,4,0)</f>
        <v>Mona Mohamed</v>
      </c>
      <c r="F174" s="20">
        <v>0</v>
      </c>
      <c r="G174" s="20">
        <v>0</v>
      </c>
      <c r="H174" s="20">
        <v>0</v>
      </c>
      <c r="I174" s="20">
        <v>0</v>
      </c>
      <c r="J174" s="20">
        <v>4464.7</v>
      </c>
      <c r="K174" s="3"/>
      <c r="L174" s="3">
        <f t="shared" si="3"/>
        <v>4464.7</v>
      </c>
    </row>
    <row r="175" spans="1:12" ht="19.5" x14ac:dyDescent="0.4">
      <c r="A175" s="8" t="s">
        <v>217</v>
      </c>
      <c r="B175" s="5" t="str">
        <f>VLOOKUP(A175,'[1]تحديث العملاء'!$A:$D,2,0)</f>
        <v>Horeca Smart</v>
      </c>
      <c r="C175" s="5" t="str">
        <f>VLOOKUP(A175,'[1]تحديث العملاء'!$A:$D,3,0)</f>
        <v xml:space="preserve">عملاء كاش </v>
      </c>
      <c r="D175" s="6" t="str">
        <f>VLOOKUP(A175,'09-09'!A:L,4,0)</f>
        <v xml:space="preserve">الدفع الفوري </v>
      </c>
      <c r="E175" s="5" t="str">
        <f>VLOOKUP(A175,'[1]تحديث العملاء'!$A:$D,4,0)</f>
        <v>Mona Mohamed</v>
      </c>
      <c r="F175" s="20">
        <v>0</v>
      </c>
      <c r="G175" s="20">
        <v>0</v>
      </c>
      <c r="H175" s="20">
        <v>0</v>
      </c>
      <c r="I175" s="20">
        <v>0</v>
      </c>
      <c r="J175" s="20">
        <v>4300</v>
      </c>
      <c r="K175" s="3"/>
      <c r="L175" s="3">
        <f t="shared" si="3"/>
        <v>4300</v>
      </c>
    </row>
    <row r="176" spans="1:12" ht="19.5" x14ac:dyDescent="0.4">
      <c r="A176" s="5" t="s">
        <v>219</v>
      </c>
      <c r="B176" s="5" t="str">
        <f>VLOOKUP(A176,'[1]تحديث العملاء'!$A:$D,2,0)</f>
        <v>Horeca Smart</v>
      </c>
      <c r="C176" s="5" t="str">
        <f>VLOOKUP(A176,'[1]تحديث العملاء'!$A:$D,3,0)</f>
        <v xml:space="preserve">عملاء كاش </v>
      </c>
      <c r="D176" s="6" t="str">
        <f>VLOOKUP(A176,'09-09'!A:L,4,0)</f>
        <v xml:space="preserve">الدفع الفوري </v>
      </c>
      <c r="E176" s="5" t="str">
        <f>VLOOKUP(A176,'[1]تحديث العملاء'!$A:$D,4,0)</f>
        <v>Mona Mohamed</v>
      </c>
      <c r="F176" s="20">
        <v>0</v>
      </c>
      <c r="G176" s="20">
        <v>0</v>
      </c>
      <c r="H176" s="20">
        <v>0</v>
      </c>
      <c r="I176" s="20">
        <v>4072</v>
      </c>
      <c r="J176" s="20">
        <v>0</v>
      </c>
      <c r="K176" s="5"/>
      <c r="L176" s="3">
        <f t="shared" si="3"/>
        <v>4072</v>
      </c>
    </row>
    <row r="177" spans="1:12" ht="19.5" x14ac:dyDescent="0.4">
      <c r="A177" s="5" t="s">
        <v>154</v>
      </c>
      <c r="B177" s="5" t="str">
        <f>VLOOKUP(A177,'[1]تحديث العملاء'!$A:$D,2,0)</f>
        <v>Horeca Smart</v>
      </c>
      <c r="C177" s="5" t="str">
        <f>VLOOKUP(A177,'[1]تحديث العملاء'!$A:$D,3,0)</f>
        <v xml:space="preserve">عملاء كاش </v>
      </c>
      <c r="D177" s="6" t="str">
        <f>VLOOKUP(A177,'09-09'!A:L,4,0)</f>
        <v xml:space="preserve">الدفع الفوري </v>
      </c>
      <c r="E177" s="5" t="str">
        <f>VLOOKUP(A177,'[1]تحديث العملاء'!$A:$D,4,0)</f>
        <v>Naden Amgad</v>
      </c>
      <c r="F177" s="20">
        <v>0</v>
      </c>
      <c r="G177" s="20">
        <v>3999.25</v>
      </c>
      <c r="H177" s="20">
        <v>0</v>
      </c>
      <c r="I177" s="20">
        <v>0</v>
      </c>
      <c r="J177" s="20">
        <v>0</v>
      </c>
      <c r="K177" s="5"/>
      <c r="L177" s="3">
        <f t="shared" si="3"/>
        <v>3999.25</v>
      </c>
    </row>
    <row r="178" spans="1:12" ht="19.5" x14ac:dyDescent="0.4">
      <c r="A178" s="8" t="s">
        <v>221</v>
      </c>
      <c r="B178" s="5" t="str">
        <f>VLOOKUP(A178,'[1]تحديث العملاء'!$A:$D,2,0)</f>
        <v>MAS</v>
      </c>
      <c r="C178" s="5" t="str">
        <f>VLOOKUP(A178,'[1]تحديث العملاء'!$A:$D,3,0)</f>
        <v>عملاء اجل</v>
      </c>
      <c r="D178" s="6" t="str">
        <f>VLOOKUP(A178,'09-09'!A:L,4,0)</f>
        <v>15 of month</v>
      </c>
      <c r="E178" s="5" t="str">
        <f>VLOOKUP(A178,'[1]تحديث العملاء'!$A:$D,4,0)</f>
        <v>Haddil Haron</v>
      </c>
      <c r="F178" s="20">
        <v>0</v>
      </c>
      <c r="G178" s="20">
        <v>0</v>
      </c>
      <c r="H178" s="20">
        <v>0</v>
      </c>
      <c r="I178" s="20">
        <v>0</v>
      </c>
      <c r="J178" s="20">
        <v>3826.2</v>
      </c>
      <c r="K178" s="3"/>
      <c r="L178" s="3">
        <f t="shared" si="3"/>
        <v>3826.2</v>
      </c>
    </row>
    <row r="179" spans="1:12" ht="19.5" x14ac:dyDescent="0.4">
      <c r="A179" s="8" t="s">
        <v>376</v>
      </c>
      <c r="B179" s="5" t="str">
        <f>VLOOKUP(A179,'[1]تحديث العملاء'!$A:$D,2,0)</f>
        <v>Horeca Smart</v>
      </c>
      <c r="C179" s="5" t="str">
        <f>VLOOKUP(A179,'[1]تحديث العملاء'!$A:$D,3,0)</f>
        <v xml:space="preserve">عملاء كاش </v>
      </c>
      <c r="D179" s="6" t="e">
        <f>VLOOKUP(A179,'09-09'!A:L,4,0)</f>
        <v>#N/A</v>
      </c>
      <c r="E179" s="5" t="str">
        <f>VLOOKUP(A179,'[1]تحديث العملاء'!$A:$D,4,0)</f>
        <v>Shorouk khaled</v>
      </c>
      <c r="F179" s="20">
        <v>0</v>
      </c>
      <c r="G179" s="20">
        <v>3745.07</v>
      </c>
      <c r="H179" s="20">
        <v>0</v>
      </c>
      <c r="I179" s="20">
        <v>0</v>
      </c>
      <c r="J179" s="20">
        <v>0</v>
      </c>
      <c r="K179" s="3"/>
      <c r="L179" s="3">
        <f t="shared" si="3"/>
        <v>3745.07</v>
      </c>
    </row>
    <row r="180" spans="1:12" ht="19.5" x14ac:dyDescent="0.4">
      <c r="A180" s="5" t="s">
        <v>223</v>
      </c>
      <c r="B180" s="5" t="str">
        <f>VLOOKUP(A180,'[1]تحديث العملاء'!$A:$D,2,0)</f>
        <v>Horeca Smart</v>
      </c>
      <c r="C180" s="5" t="str">
        <f>VLOOKUP(A180,'[1]تحديث العملاء'!$A:$D,3,0)</f>
        <v xml:space="preserve">عملاء كاش </v>
      </c>
      <c r="D180" s="6" t="str">
        <f>VLOOKUP(A180,'09-09'!A:L,4,0)</f>
        <v xml:space="preserve">الدفع الفوري </v>
      </c>
      <c r="E180" s="5" t="str">
        <f>VLOOKUP(A180,'[1]تحديث العملاء'!$A:$D,4,0)</f>
        <v>Reham Maher</v>
      </c>
      <c r="F180" s="20">
        <v>0</v>
      </c>
      <c r="G180" s="20">
        <v>0</v>
      </c>
      <c r="H180" s="20">
        <v>0</v>
      </c>
      <c r="I180" s="20">
        <v>0</v>
      </c>
      <c r="J180" s="20">
        <v>3615.02</v>
      </c>
      <c r="K180" s="5"/>
      <c r="L180" s="3">
        <f t="shared" si="3"/>
        <v>3615.02</v>
      </c>
    </row>
    <row r="181" spans="1:12" ht="19.5" x14ac:dyDescent="0.4">
      <c r="A181" s="8" t="s">
        <v>224</v>
      </c>
      <c r="B181" s="5" t="str">
        <f>VLOOKUP(A181,'[1]تحديث العملاء'!$A:$D,2,0)</f>
        <v>MAS</v>
      </c>
      <c r="C181" s="5" t="str">
        <f>VLOOKUP(A181,'[1]تحديث العملاء'!$A:$D,3,0)</f>
        <v xml:space="preserve">عملاء كاش </v>
      </c>
      <c r="D181" s="6" t="str">
        <f>VLOOKUP(A181,'09-09'!A:L,4,0)</f>
        <v xml:space="preserve">الدفع الفوري </v>
      </c>
      <c r="E181" s="5" t="str">
        <f>VLOOKUP(A181,'[1]تحديث العملاء'!$A:$D,4,0)</f>
        <v>Haddil Haron</v>
      </c>
      <c r="F181" s="20">
        <v>0</v>
      </c>
      <c r="G181" s="20">
        <v>0</v>
      </c>
      <c r="H181" s="20">
        <v>3480</v>
      </c>
      <c r="I181" s="20">
        <v>0</v>
      </c>
      <c r="J181" s="20">
        <v>0</v>
      </c>
      <c r="K181" s="3"/>
      <c r="L181" s="3">
        <f t="shared" si="3"/>
        <v>3480</v>
      </c>
    </row>
    <row r="182" spans="1:12" ht="19.5" x14ac:dyDescent="0.4">
      <c r="A182" s="8" t="s">
        <v>225</v>
      </c>
      <c r="B182" s="5" t="str">
        <f>VLOOKUP(A182,'[1]تحديث العملاء'!$A:$D,2,0)</f>
        <v>Horeca Smart</v>
      </c>
      <c r="C182" s="5" t="str">
        <f>VLOOKUP(A182,'[1]تحديث العملاء'!$A:$D,3,0)</f>
        <v xml:space="preserve">عملاء كاش </v>
      </c>
      <c r="D182" s="6" t="str">
        <f>VLOOKUP(A182,'09-09'!A:L,4,0)</f>
        <v xml:space="preserve">الدفع الفوري </v>
      </c>
      <c r="E182" s="5" t="str">
        <f>VLOOKUP(A182,'[1]تحديث العملاء'!$A:$D,4,0)</f>
        <v>Naden Amgad</v>
      </c>
      <c r="F182" s="20">
        <v>0</v>
      </c>
      <c r="G182" s="20">
        <v>0</v>
      </c>
      <c r="H182" s="20">
        <v>0</v>
      </c>
      <c r="I182" s="20">
        <v>0</v>
      </c>
      <c r="J182" s="20">
        <v>3468.5</v>
      </c>
      <c r="K182" s="3"/>
      <c r="L182" s="3">
        <f t="shared" si="3"/>
        <v>3468.5</v>
      </c>
    </row>
    <row r="183" spans="1:12" ht="19.5" x14ac:dyDescent="0.4">
      <c r="A183" s="8" t="s">
        <v>227</v>
      </c>
      <c r="B183" s="5" t="str">
        <f>VLOOKUP(A183,'[1]تحديث العملاء'!$A:$D,2,0)</f>
        <v>Horeca Smart</v>
      </c>
      <c r="C183" s="5" t="str">
        <f>VLOOKUP(A183,'[1]تحديث العملاء'!$A:$D,3,0)</f>
        <v xml:space="preserve">عملاء كاش </v>
      </c>
      <c r="D183" s="6" t="str">
        <f>VLOOKUP(A183,'09-09'!A:L,4,0)</f>
        <v xml:space="preserve">الدفع الفوري </v>
      </c>
      <c r="E183" s="5" t="str">
        <f>VLOOKUP(A183,'[1]تحديث العملاء'!$A:$D,4,0)</f>
        <v>Shorouk khaled</v>
      </c>
      <c r="F183" s="20">
        <v>0</v>
      </c>
      <c r="G183" s="20">
        <v>0</v>
      </c>
      <c r="H183" s="20">
        <v>3325</v>
      </c>
      <c r="I183" s="20">
        <v>0</v>
      </c>
      <c r="J183" s="20">
        <v>0</v>
      </c>
      <c r="K183" s="3"/>
      <c r="L183" s="3">
        <f t="shared" si="3"/>
        <v>3325</v>
      </c>
    </row>
    <row r="184" spans="1:12" ht="19.5" x14ac:dyDescent="0.4">
      <c r="A184" s="8" t="s">
        <v>218</v>
      </c>
      <c r="B184" s="5" t="str">
        <f>VLOOKUP(A184,'[1]تحديث العملاء'!$A:$D,2,0)</f>
        <v>Horeca Smart</v>
      </c>
      <c r="C184" s="5" t="str">
        <f>VLOOKUP(A184,'[1]تحديث العملاء'!$A:$D,3,0)</f>
        <v xml:space="preserve">عملاء كاش </v>
      </c>
      <c r="D184" s="6" t="e">
        <f>VLOOKUP(A184,'09-09'!A:L,4,0)</f>
        <v>#N/A</v>
      </c>
      <c r="E184" s="5" t="str">
        <f>VLOOKUP(A184,'[1]تحديث العملاء'!$A:$D,4,0)</f>
        <v>Donia Khaled</v>
      </c>
      <c r="F184" s="20">
        <v>3244.31</v>
      </c>
      <c r="G184" s="20">
        <v>-2944.28</v>
      </c>
      <c r="H184" s="20">
        <v>0</v>
      </c>
      <c r="I184" s="20">
        <v>0</v>
      </c>
      <c r="J184" s="20">
        <v>2944.7</v>
      </c>
      <c r="K184" s="3"/>
      <c r="L184" s="3">
        <f t="shared" si="3"/>
        <v>3244.7299999999996</v>
      </c>
    </row>
    <row r="185" spans="1:12" ht="19.5" x14ac:dyDescent="0.4">
      <c r="A185" s="8" t="s">
        <v>315</v>
      </c>
      <c r="B185" s="5" t="str">
        <f>VLOOKUP(A185,'[1]تحديث العملاء'!$A:$D,2,0)</f>
        <v>Horeca Smart</v>
      </c>
      <c r="C185" s="5" t="str">
        <f>VLOOKUP(A185,'[1]تحديث العملاء'!$A:$D,3,0)</f>
        <v xml:space="preserve">عملاء كاش </v>
      </c>
      <c r="D185" s="6" t="e">
        <f>VLOOKUP(A185,'09-09'!A:L,4,0)</f>
        <v>#N/A</v>
      </c>
      <c r="E185" s="5" t="str">
        <f>VLOOKUP(A185,'[1]تحديث العملاء'!$A:$D,4,0)</f>
        <v>Reham Maher</v>
      </c>
      <c r="F185" s="20">
        <v>3231</v>
      </c>
      <c r="G185" s="20">
        <v>-1.66</v>
      </c>
      <c r="H185" s="20">
        <v>1.5</v>
      </c>
      <c r="I185" s="20">
        <v>0</v>
      </c>
      <c r="J185" s="20">
        <v>0</v>
      </c>
      <c r="K185" s="3"/>
      <c r="L185" s="3">
        <f t="shared" si="3"/>
        <v>3230.84</v>
      </c>
    </row>
    <row r="186" spans="1:12" ht="19.5" x14ac:dyDescent="0.4">
      <c r="A186" s="8" t="s">
        <v>229</v>
      </c>
      <c r="B186" s="5" t="str">
        <f>VLOOKUP(A186,'[1]تحديث العملاء'!$A:$D,2,0)</f>
        <v>Horeca Smart</v>
      </c>
      <c r="C186" s="5" t="str">
        <f>VLOOKUP(A186,'[1]تحديث العملاء'!$A:$D,3,0)</f>
        <v xml:space="preserve">عملاء كاش </v>
      </c>
      <c r="D186" s="6" t="str">
        <f>VLOOKUP(A186,'09-09'!A:L,4,0)</f>
        <v xml:space="preserve">الدفع الفوري </v>
      </c>
      <c r="E186" s="5" t="str">
        <f>VLOOKUP(A186,'[1]تحديث العملاء'!$A:$D,4,0)</f>
        <v>Naden Amgad</v>
      </c>
      <c r="F186" s="20">
        <v>0</v>
      </c>
      <c r="G186" s="20">
        <v>0</v>
      </c>
      <c r="H186" s="20">
        <v>0</v>
      </c>
      <c r="I186" s="20">
        <v>0</v>
      </c>
      <c r="J186" s="20">
        <v>3205</v>
      </c>
      <c r="K186" s="3"/>
      <c r="L186" s="3">
        <f t="shared" si="3"/>
        <v>3205</v>
      </c>
    </row>
    <row r="187" spans="1:12" ht="19.5" x14ac:dyDescent="0.4">
      <c r="A187" s="8" t="s">
        <v>351</v>
      </c>
      <c r="B187" s="5" t="str">
        <f>VLOOKUP(A187,'[1]تحديث العملاء'!$A:$D,2,0)</f>
        <v>Horeca Smart</v>
      </c>
      <c r="C187" s="5" t="str">
        <f>VLOOKUP(A187,'[1]تحديث العملاء'!$A:$D,3,0)</f>
        <v xml:space="preserve">عملاء كاش </v>
      </c>
      <c r="D187" s="6" t="e">
        <f>VLOOKUP(A187,'09-09'!A:L,4,0)</f>
        <v>#N/A</v>
      </c>
      <c r="E187" s="5" t="str">
        <f>VLOOKUP(A187,'[1]تحديث العملاء'!$A:$D,4,0)</f>
        <v>Reham Maher</v>
      </c>
      <c r="F187" s="20">
        <v>0</v>
      </c>
      <c r="G187" s="20">
        <v>2900</v>
      </c>
      <c r="H187" s="20">
        <v>0</v>
      </c>
      <c r="I187" s="20">
        <v>0</v>
      </c>
      <c r="J187" s="20">
        <v>0</v>
      </c>
      <c r="K187" s="3"/>
      <c r="L187" s="3">
        <f t="shared" si="3"/>
        <v>2900</v>
      </c>
    </row>
    <row r="188" spans="1:12" ht="19.5" x14ac:dyDescent="0.4">
      <c r="A188" s="8" t="s">
        <v>81</v>
      </c>
      <c r="B188" s="5" t="str">
        <f>VLOOKUP(A188,'[1]تحديث العملاء'!$A:$D,2,0)</f>
        <v>MAS</v>
      </c>
      <c r="C188" s="5" t="str">
        <f>VLOOKUP(A188,'[1]تحديث العملاء'!$A:$D,3,0)</f>
        <v xml:space="preserve">عملاء كاش </v>
      </c>
      <c r="D188" s="6" t="str">
        <f>VLOOKUP(A188,'09-09'!A:L,4,0)</f>
        <v xml:space="preserve">الدفع الفوري </v>
      </c>
      <c r="E188" s="5" t="str">
        <f>VLOOKUP(A188,'[1]تحديث العملاء'!$A:$D,4,0)</f>
        <v>Haddil Haron</v>
      </c>
      <c r="F188" s="20">
        <v>0</v>
      </c>
      <c r="G188" s="20">
        <v>2800.75</v>
      </c>
      <c r="H188" s="20">
        <v>0</v>
      </c>
      <c r="I188" s="20">
        <v>0</v>
      </c>
      <c r="J188" s="20">
        <v>0</v>
      </c>
      <c r="K188" s="3"/>
      <c r="L188" s="3">
        <f t="shared" si="3"/>
        <v>2800.75</v>
      </c>
    </row>
    <row r="189" spans="1:12" ht="19.5" x14ac:dyDescent="0.4">
      <c r="A189" s="5" t="s">
        <v>231</v>
      </c>
      <c r="B189" s="5" t="str">
        <f>VLOOKUP(A189,'[1]تحديث العملاء'!$A:$D,2,0)</f>
        <v>Horeca Smart</v>
      </c>
      <c r="C189" s="5" t="str">
        <f>VLOOKUP(A189,'[1]تحديث العملاء'!$A:$D,3,0)</f>
        <v>عملاء اجل</v>
      </c>
      <c r="D189" s="6" t="str">
        <f>VLOOKUP(A189,'09-09'!A:L,4,0)</f>
        <v>15 يوماً</v>
      </c>
      <c r="E189" s="5" t="str">
        <f>VLOOKUP(A189,'[1]تحديث العملاء'!$A:$D,4,0)</f>
        <v>Mona Mohamed</v>
      </c>
      <c r="F189" s="20">
        <v>0</v>
      </c>
      <c r="G189" s="20">
        <v>0</v>
      </c>
      <c r="H189" s="20">
        <v>0</v>
      </c>
      <c r="I189" s="20">
        <v>0</v>
      </c>
      <c r="J189" s="20">
        <v>2794.66</v>
      </c>
      <c r="K189" s="5"/>
      <c r="L189" s="3">
        <f t="shared" si="3"/>
        <v>2794.66</v>
      </c>
    </row>
    <row r="190" spans="1:12" ht="19.5" x14ac:dyDescent="0.4">
      <c r="A190" s="5" t="s">
        <v>377</v>
      </c>
      <c r="B190" s="5" t="str">
        <f>VLOOKUP(A190,'[1]تحديث العملاء'!$A:$D,2,0)</f>
        <v>Horeca Smart</v>
      </c>
      <c r="C190" s="5" t="str">
        <f>VLOOKUP(A190,'[1]تحديث العملاء'!$A:$D,3,0)</f>
        <v xml:space="preserve">عملاء كاش </v>
      </c>
      <c r="D190" s="6" t="e">
        <f>VLOOKUP(A190,'09-09'!A:L,4,0)</f>
        <v>#N/A</v>
      </c>
      <c r="E190" s="5" t="str">
        <f>VLOOKUP(A190,'[1]تحديث العملاء'!$A:$D,4,0)</f>
        <v>Reham Maher</v>
      </c>
      <c r="F190" s="20">
        <v>2735.5</v>
      </c>
      <c r="G190" s="20">
        <v>0</v>
      </c>
      <c r="H190" s="20">
        <v>0</v>
      </c>
      <c r="I190" s="20">
        <v>0</v>
      </c>
      <c r="J190" s="20">
        <v>0</v>
      </c>
      <c r="K190" s="5"/>
      <c r="L190" s="3">
        <f t="shared" si="3"/>
        <v>2735.5</v>
      </c>
    </row>
    <row r="191" spans="1:12" ht="19.5" x14ac:dyDescent="0.4">
      <c r="A191" s="8" t="s">
        <v>378</v>
      </c>
      <c r="B191" s="5" t="str">
        <f>VLOOKUP(A191,'[1]تحديث العملاء'!$A:$D,2,0)</f>
        <v>Horeca Smart</v>
      </c>
      <c r="C191" s="5" t="str">
        <f>VLOOKUP(A191,'[1]تحديث العملاء'!$A:$D,3,0)</f>
        <v xml:space="preserve">عملاء كاش </v>
      </c>
      <c r="D191" s="6" t="e">
        <f>VLOOKUP(A191,'09-09'!A:L,4,0)</f>
        <v>#N/A</v>
      </c>
      <c r="E191" s="5" t="str">
        <f>VLOOKUP(A191,'[1]تحديث العملاء'!$A:$D,4,0)</f>
        <v>Mona Mohamed</v>
      </c>
      <c r="F191" s="20">
        <v>0</v>
      </c>
      <c r="G191" s="20">
        <v>2586</v>
      </c>
      <c r="H191" s="20">
        <v>0</v>
      </c>
      <c r="I191" s="20">
        <v>0</v>
      </c>
      <c r="J191" s="20">
        <v>0</v>
      </c>
      <c r="K191" s="3"/>
      <c r="L191" s="3">
        <f t="shared" si="3"/>
        <v>2586</v>
      </c>
    </row>
    <row r="192" spans="1:12" ht="19.5" x14ac:dyDescent="0.4">
      <c r="A192" s="5" t="s">
        <v>103</v>
      </c>
      <c r="B192" s="5" t="str">
        <f>VLOOKUP(A192,'[1]تحديث العملاء'!$A:$D,2,0)</f>
        <v>MAS</v>
      </c>
      <c r="C192" s="5" t="str">
        <f>VLOOKUP(A192,'[1]تحديث العملاء'!$A:$D,3,0)</f>
        <v>عملاء اجل</v>
      </c>
      <c r="D192" s="6" t="str">
        <f>VLOOKUP(A192,'09-09'!A:L,4,0)</f>
        <v>30 يوماً</v>
      </c>
      <c r="E192" s="5" t="str">
        <f>VLOOKUP(A192,'[1]تحديث العملاء'!$A:$D,4,0)</f>
        <v>Haddil Haron</v>
      </c>
      <c r="F192" s="20">
        <v>0</v>
      </c>
      <c r="G192" s="20">
        <v>0</v>
      </c>
      <c r="H192" s="20">
        <v>2489.7600000000002</v>
      </c>
      <c r="I192" s="20">
        <v>0</v>
      </c>
      <c r="J192" s="20">
        <v>0</v>
      </c>
      <c r="K192" s="5"/>
      <c r="L192" s="3">
        <f t="shared" si="3"/>
        <v>2489.7600000000002</v>
      </c>
    </row>
    <row r="193" spans="1:12" ht="19.5" x14ac:dyDescent="0.4">
      <c r="A193" s="5" t="s">
        <v>233</v>
      </c>
      <c r="B193" s="5" t="str">
        <f>VLOOKUP(A193,'[1]تحديث العملاء'!$A:$D,2,0)</f>
        <v>Horeca Smart</v>
      </c>
      <c r="C193" s="5" t="str">
        <f>VLOOKUP(A193,'[1]تحديث العملاء'!$A:$D,3,0)</f>
        <v xml:space="preserve">عملاء كاش </v>
      </c>
      <c r="D193" s="6" t="str">
        <f>VLOOKUP(A193,'09-09'!A:L,4,0)</f>
        <v xml:space="preserve">الدفع الفوري </v>
      </c>
      <c r="E193" s="5" t="str">
        <f>VLOOKUP(A193,'[1]تحديث العملاء'!$A:$D,4,0)</f>
        <v>Mona Mohamed</v>
      </c>
      <c r="F193" s="20">
        <v>0</v>
      </c>
      <c r="G193" s="20">
        <v>0</v>
      </c>
      <c r="H193" s="20">
        <v>0</v>
      </c>
      <c r="I193" s="20">
        <v>0</v>
      </c>
      <c r="J193" s="20">
        <v>2433.39</v>
      </c>
      <c r="K193" s="5"/>
      <c r="L193" s="3">
        <f t="shared" si="3"/>
        <v>2433.39</v>
      </c>
    </row>
    <row r="194" spans="1:12" ht="19.5" x14ac:dyDescent="0.4">
      <c r="A194" s="8" t="s">
        <v>236</v>
      </c>
      <c r="B194" s="5" t="str">
        <f>VLOOKUP(A194,'[1]تحديث العملاء'!$A:$D,2,0)</f>
        <v>Horeca Smart</v>
      </c>
      <c r="C194" s="5" t="str">
        <f>VLOOKUP(A194,'[1]تحديث العملاء'!$A:$D,3,0)</f>
        <v xml:space="preserve">عملاء كاش </v>
      </c>
      <c r="D194" s="6" t="str">
        <f>VLOOKUP(A194,'09-09'!A:L,4,0)</f>
        <v xml:space="preserve">الدفع الفوري </v>
      </c>
      <c r="E194" s="5" t="str">
        <f>VLOOKUP(A194,'[1]تحديث العملاء'!$A:$D,4,0)</f>
        <v>Mona Mohamed</v>
      </c>
      <c r="F194" s="20">
        <v>0</v>
      </c>
      <c r="G194" s="20">
        <v>0</v>
      </c>
      <c r="H194" s="20">
        <v>0</v>
      </c>
      <c r="I194" s="20">
        <v>0</v>
      </c>
      <c r="J194" s="20">
        <v>2041</v>
      </c>
      <c r="K194" s="3"/>
      <c r="L194" s="3">
        <f t="shared" si="3"/>
        <v>2041</v>
      </c>
    </row>
    <row r="195" spans="1:12" ht="19.5" x14ac:dyDescent="0.4">
      <c r="A195" s="5" t="s">
        <v>379</v>
      </c>
      <c r="B195" s="5" t="str">
        <f>VLOOKUP(A195,'[1]تحديث العملاء'!$A:$D,2,0)</f>
        <v>Horeca Smart</v>
      </c>
      <c r="C195" s="5" t="str">
        <f>VLOOKUP(A195,'[1]تحديث العملاء'!$A:$D,3,0)</f>
        <v xml:space="preserve">عملاء كاش </v>
      </c>
      <c r="D195" s="6" t="e">
        <f>VLOOKUP(A195,'09-09'!A:L,4,0)</f>
        <v>#N/A</v>
      </c>
      <c r="E195" s="5" t="str">
        <f>VLOOKUP(A195,'[1]تحديث العملاء'!$A:$D,4,0)</f>
        <v>Naden Amgad</v>
      </c>
      <c r="F195" s="20">
        <v>0</v>
      </c>
      <c r="G195" s="20">
        <v>1618.8</v>
      </c>
      <c r="H195" s="20">
        <v>0</v>
      </c>
      <c r="I195" s="20">
        <v>0</v>
      </c>
      <c r="J195" s="20">
        <v>402</v>
      </c>
      <c r="K195" s="5"/>
      <c r="L195" s="3">
        <f t="shared" si="3"/>
        <v>2020.8</v>
      </c>
    </row>
    <row r="196" spans="1:12" ht="19.5" x14ac:dyDescent="0.4">
      <c r="A196" s="5" t="s">
        <v>238</v>
      </c>
      <c r="B196" s="5" t="str">
        <f>VLOOKUP(A196,'[1]تحديث العملاء'!$A:$D,2,0)</f>
        <v>Horeca Smart</v>
      </c>
      <c r="C196" s="5" t="str">
        <f>VLOOKUP(A196,'[1]تحديث العملاء'!$A:$D,3,0)</f>
        <v xml:space="preserve">عملاء كاش </v>
      </c>
      <c r="D196" s="6" t="str">
        <f>VLOOKUP(A196,'09-09'!A:L,4,0)</f>
        <v xml:space="preserve">الدفع الفوري </v>
      </c>
      <c r="E196" s="5" t="str">
        <f>VLOOKUP(A196,'[1]تحديث العملاء'!$A:$D,4,0)</f>
        <v>Lames Magdy</v>
      </c>
      <c r="F196" s="20">
        <v>0</v>
      </c>
      <c r="G196" s="20">
        <v>0</v>
      </c>
      <c r="H196" s="20">
        <v>0</v>
      </c>
      <c r="I196" s="20">
        <v>0</v>
      </c>
      <c r="J196" s="20">
        <v>1698.72</v>
      </c>
      <c r="K196" s="5"/>
      <c r="L196" s="3">
        <f t="shared" si="3"/>
        <v>1698.72</v>
      </c>
    </row>
    <row r="197" spans="1:12" ht="19.5" x14ac:dyDescent="0.4">
      <c r="A197" s="8" t="s">
        <v>239</v>
      </c>
      <c r="B197" s="5" t="str">
        <f>VLOOKUP(A197,'[1]تحديث العملاء'!$A:$D,2,0)</f>
        <v>Horeca Smart</v>
      </c>
      <c r="C197" s="5" t="str">
        <f>VLOOKUP(A197,'[1]تحديث العملاء'!$A:$D,3,0)</f>
        <v xml:space="preserve">عملاء كاش </v>
      </c>
      <c r="D197" s="6" t="str">
        <f>VLOOKUP(A197,'09-09'!A:L,4,0)</f>
        <v xml:space="preserve">الدفع الفوري </v>
      </c>
      <c r="E197" s="5" t="str">
        <f>VLOOKUP(A197,'[1]تحديث العملاء'!$A:$D,4,0)</f>
        <v>Donia Khaled</v>
      </c>
      <c r="F197" s="20">
        <v>0</v>
      </c>
      <c r="G197" s="20">
        <v>0</v>
      </c>
      <c r="H197" s="20">
        <v>1626.5</v>
      </c>
      <c r="I197" s="20">
        <v>0</v>
      </c>
      <c r="J197" s="20">
        <v>0</v>
      </c>
      <c r="K197" s="3"/>
      <c r="L197" s="3">
        <f t="shared" ref="L197:L233" si="4">F197+G197+H197+I197+J197</f>
        <v>1626.5</v>
      </c>
    </row>
    <row r="198" spans="1:12" ht="19.5" x14ac:dyDescent="0.4">
      <c r="A198" s="5" t="s">
        <v>241</v>
      </c>
      <c r="B198" s="5" t="str">
        <f>VLOOKUP(A198,'[1]تحديث العملاء'!$A:$D,2,0)</f>
        <v>Horeca Smart</v>
      </c>
      <c r="C198" s="5" t="str">
        <f>VLOOKUP(A198,'[1]تحديث العملاء'!$A:$D,3,0)</f>
        <v xml:space="preserve">عملاء كاش </v>
      </c>
      <c r="D198" s="6" t="str">
        <f>VLOOKUP(A198,'09-09'!A:L,4,0)</f>
        <v xml:space="preserve">الدفع الفوري </v>
      </c>
      <c r="E198" s="5" t="str">
        <f>VLOOKUP(A198,'[1]تحديث العملاء'!$A:$D,4,0)</f>
        <v>Donia Khaled</v>
      </c>
      <c r="F198" s="20">
        <v>0</v>
      </c>
      <c r="G198" s="20">
        <v>0</v>
      </c>
      <c r="H198" s="20">
        <v>1564.01</v>
      </c>
      <c r="I198" s="20">
        <v>0</v>
      </c>
      <c r="J198" s="20">
        <v>0</v>
      </c>
      <c r="K198" s="5"/>
      <c r="L198" s="3">
        <f t="shared" si="4"/>
        <v>1564.01</v>
      </c>
    </row>
    <row r="199" spans="1:12" ht="19.5" x14ac:dyDescent="0.4">
      <c r="A199" s="8" t="s">
        <v>135</v>
      </c>
      <c r="B199" s="5" t="str">
        <f>VLOOKUP(A199,'[1]تحديث العملاء'!$A:$D,2,0)</f>
        <v>Horeca Smart</v>
      </c>
      <c r="C199" s="5" t="str">
        <f>VLOOKUP(A199,'[1]تحديث العملاء'!$A:$D,3,0)</f>
        <v xml:space="preserve">عملاء كاش </v>
      </c>
      <c r="D199" s="6" t="str">
        <f>VLOOKUP(A199,'09-09'!A:L,4,0)</f>
        <v xml:space="preserve">الدفع الفوري </v>
      </c>
      <c r="E199" s="5" t="str">
        <f>VLOOKUP(A199,'[1]تحديث العملاء'!$A:$D,4,0)</f>
        <v>Mona Mohamed</v>
      </c>
      <c r="F199" s="20">
        <v>0</v>
      </c>
      <c r="G199" s="20">
        <v>1506.95</v>
      </c>
      <c r="H199" s="20">
        <v>0</v>
      </c>
      <c r="I199" s="20">
        <v>0</v>
      </c>
      <c r="J199" s="20">
        <v>0</v>
      </c>
      <c r="K199" s="3"/>
      <c r="L199" s="3">
        <f t="shared" si="4"/>
        <v>1506.95</v>
      </c>
    </row>
    <row r="200" spans="1:12" ht="19.5" x14ac:dyDescent="0.4">
      <c r="A200" s="5" t="s">
        <v>243</v>
      </c>
      <c r="B200" s="5" t="str">
        <f>VLOOKUP(A200,'[1]تحديث العملاء'!$A:$D,2,0)</f>
        <v>Horeca Smart</v>
      </c>
      <c r="C200" s="5" t="str">
        <f>VLOOKUP(A200,'[1]تحديث العملاء'!$A:$D,3,0)</f>
        <v xml:space="preserve">عملاء كاش </v>
      </c>
      <c r="D200" s="6" t="str">
        <f>VLOOKUP(A200,'09-09'!A:L,4,0)</f>
        <v xml:space="preserve">الدفع الفوري </v>
      </c>
      <c r="E200" s="5" t="str">
        <f>VLOOKUP(A200,'[1]تحديث العملاء'!$A:$D,4,0)</f>
        <v>Naden Amgad</v>
      </c>
      <c r="F200" s="20">
        <v>0</v>
      </c>
      <c r="G200" s="20">
        <v>0</v>
      </c>
      <c r="H200" s="20">
        <v>0</v>
      </c>
      <c r="I200" s="20">
        <v>0</v>
      </c>
      <c r="J200" s="20">
        <v>1500</v>
      </c>
      <c r="K200" s="5"/>
      <c r="L200" s="3">
        <f t="shared" si="4"/>
        <v>1500</v>
      </c>
    </row>
    <row r="201" spans="1:12" ht="19.5" x14ac:dyDescent="0.4">
      <c r="A201" s="8" t="s">
        <v>242</v>
      </c>
      <c r="B201" s="5" t="str">
        <f>VLOOKUP(A201,'[1]تحديث العملاء'!$A:$D,2,0)</f>
        <v>Horeca Smart</v>
      </c>
      <c r="C201" s="5" t="str">
        <f>VLOOKUP(A201,'[1]تحديث العملاء'!$A:$D,3,0)</f>
        <v>عملاء اجل</v>
      </c>
      <c r="D201" s="6" t="str">
        <f>VLOOKUP(A201,'09-09'!A:L,4,0)</f>
        <v>30 يوماً</v>
      </c>
      <c r="E201" s="5" t="str">
        <f>VLOOKUP(A201,'[1]تحديث العملاء'!$A:$D,4,0)</f>
        <v>Lames Magdy</v>
      </c>
      <c r="F201" s="20">
        <v>0</v>
      </c>
      <c r="G201" s="20">
        <v>18120</v>
      </c>
      <c r="H201" s="20">
        <v>-18120</v>
      </c>
      <c r="I201" s="20">
        <v>0</v>
      </c>
      <c r="J201" s="20">
        <v>1500</v>
      </c>
      <c r="K201" s="3"/>
      <c r="L201" s="3">
        <f t="shared" si="4"/>
        <v>1500</v>
      </c>
    </row>
    <row r="202" spans="1:12" ht="19.5" x14ac:dyDescent="0.4">
      <c r="A202" s="5" t="s">
        <v>356</v>
      </c>
      <c r="B202" s="5" t="str">
        <f>VLOOKUP(A202,'[1]تحديث العملاء'!$A:$D,2,0)</f>
        <v>Horeca Smart</v>
      </c>
      <c r="C202" s="5" t="str">
        <f>VLOOKUP(A202,'[1]تحديث العملاء'!$A:$D,3,0)</f>
        <v xml:space="preserve">عملاء كاش </v>
      </c>
      <c r="D202" s="6" t="e">
        <f>VLOOKUP(A202,'09-09'!A:L,4,0)</f>
        <v>#N/A</v>
      </c>
      <c r="E202" s="5" t="str">
        <f>VLOOKUP(A202,'[1]تحديث العملاء'!$A:$D,4,0)</f>
        <v>Naden Amgad</v>
      </c>
      <c r="F202" s="20">
        <v>0</v>
      </c>
      <c r="G202" s="20">
        <v>1419</v>
      </c>
      <c r="H202" s="20">
        <v>0</v>
      </c>
      <c r="I202" s="20">
        <v>0</v>
      </c>
      <c r="J202" s="20">
        <v>0</v>
      </c>
      <c r="K202" s="5"/>
      <c r="L202" s="3">
        <f t="shared" si="4"/>
        <v>1419</v>
      </c>
    </row>
    <row r="203" spans="1:12" ht="19.5" x14ac:dyDescent="0.4">
      <c r="A203" s="8" t="s">
        <v>244</v>
      </c>
      <c r="B203" s="5" t="str">
        <f>VLOOKUP(A203,'[1]تحديث العملاء'!$A:$D,2,0)</f>
        <v>MAS</v>
      </c>
      <c r="C203" s="5" t="str">
        <f>VLOOKUP(A203,'[1]تحديث العملاء'!$A:$D,3,0)</f>
        <v xml:space="preserve">عملاء كاش </v>
      </c>
      <c r="D203" s="6" t="str">
        <f>VLOOKUP(A203,'09-09'!A:L,4,0)</f>
        <v xml:space="preserve">الدفع الفوري </v>
      </c>
      <c r="E203" s="5" t="str">
        <f>VLOOKUP(A203,'[1]تحديث العملاء'!$A:$D,4,0)</f>
        <v>Haddil Haron</v>
      </c>
      <c r="F203" s="20">
        <v>0</v>
      </c>
      <c r="G203" s="20">
        <v>0</v>
      </c>
      <c r="H203" s="20">
        <v>1326.83</v>
      </c>
      <c r="I203" s="20">
        <v>0</v>
      </c>
      <c r="J203" s="20">
        <v>0</v>
      </c>
      <c r="K203" s="3"/>
      <c r="L203" s="3">
        <f t="shared" si="4"/>
        <v>1326.83</v>
      </c>
    </row>
    <row r="204" spans="1:12" ht="19.5" x14ac:dyDescent="0.4">
      <c r="A204" s="5" t="s">
        <v>245</v>
      </c>
      <c r="B204" s="5" t="str">
        <f>VLOOKUP(A204,'[1]تحديث العملاء'!$A:$D,2,0)</f>
        <v>Horeca Smart</v>
      </c>
      <c r="C204" s="5" t="str">
        <f>VLOOKUP(A204,'[1]تحديث العملاء'!$A:$D,3,0)</f>
        <v xml:space="preserve">عملاء كاش </v>
      </c>
      <c r="D204" s="6" t="str">
        <f>VLOOKUP(A204,'09-09'!A:L,4,0)</f>
        <v xml:space="preserve">الدفع الفوري </v>
      </c>
      <c r="E204" s="5" t="str">
        <f>VLOOKUP(A204,'[1]تحديث العملاء'!$A:$D,4,0)</f>
        <v>Reham Maher</v>
      </c>
      <c r="F204" s="20">
        <v>0</v>
      </c>
      <c r="G204" s="20">
        <v>0</v>
      </c>
      <c r="H204" s="20">
        <v>0</v>
      </c>
      <c r="I204" s="20">
        <v>0</v>
      </c>
      <c r="J204" s="20">
        <v>1242</v>
      </c>
      <c r="K204" s="5"/>
      <c r="L204" s="3">
        <f t="shared" si="4"/>
        <v>1242</v>
      </c>
    </row>
    <row r="205" spans="1:12" ht="19.5" x14ac:dyDescent="0.4">
      <c r="A205" s="5" t="s">
        <v>246</v>
      </c>
      <c r="B205" s="5" t="str">
        <f>VLOOKUP(A205,'[1]تحديث العملاء'!$A:$D,2,0)</f>
        <v>Horeca Smart</v>
      </c>
      <c r="C205" s="5" t="str">
        <f>VLOOKUP(A205,'[1]تحديث العملاء'!$A:$D,3,0)</f>
        <v xml:space="preserve">عملاء كاش </v>
      </c>
      <c r="D205" s="6" t="str">
        <f>VLOOKUP(A205,'09-09'!A:L,4,0)</f>
        <v xml:space="preserve">الدفع الفوري </v>
      </c>
      <c r="E205" s="5" t="str">
        <f>VLOOKUP(A205,'[1]تحديث العملاء'!$A:$D,4,0)</f>
        <v>Lames Magdy</v>
      </c>
      <c r="F205" s="20">
        <v>0</v>
      </c>
      <c r="G205" s="20">
        <v>0</v>
      </c>
      <c r="H205" s="20">
        <v>0</v>
      </c>
      <c r="I205" s="20">
        <v>1233</v>
      </c>
      <c r="J205" s="20">
        <v>-0.25</v>
      </c>
      <c r="K205" s="5"/>
      <c r="L205" s="3">
        <f t="shared" si="4"/>
        <v>1232.75</v>
      </c>
    </row>
    <row r="206" spans="1:12" ht="19.5" x14ac:dyDescent="0.4">
      <c r="A206" s="5" t="s">
        <v>290</v>
      </c>
      <c r="B206" s="5" t="str">
        <f>VLOOKUP(A206,'[1]تحديث العملاء'!$A:$D,2,0)</f>
        <v>Horeca Smart</v>
      </c>
      <c r="C206" s="5" t="str">
        <f>VLOOKUP(A206,'[1]تحديث العملاء'!$A:$D,3,0)</f>
        <v xml:space="preserve">عملاء كاش </v>
      </c>
      <c r="D206" s="6" t="str">
        <f>VLOOKUP(A206,'09-09'!A:L,4,0)</f>
        <v xml:space="preserve">الدفع الفوري </v>
      </c>
      <c r="E206" s="5" t="str">
        <f>VLOOKUP(A206,'[1]تحديث العملاء'!$A:$D,4,0)</f>
        <v>Reham Maher</v>
      </c>
      <c r="F206" s="20">
        <v>0</v>
      </c>
      <c r="G206" s="20">
        <v>729.5</v>
      </c>
      <c r="H206" s="20">
        <v>0</v>
      </c>
      <c r="I206" s="20">
        <v>0</v>
      </c>
      <c r="J206" s="20">
        <v>485</v>
      </c>
      <c r="K206" s="5"/>
      <c r="L206" s="3">
        <f t="shared" si="4"/>
        <v>1214.5</v>
      </c>
    </row>
    <row r="207" spans="1:12" ht="19.5" x14ac:dyDescent="0.4">
      <c r="A207" s="8" t="s">
        <v>347</v>
      </c>
      <c r="B207" s="5" t="str">
        <f>VLOOKUP(A207,'[1]تحديث العملاء'!$A:$D,2,0)</f>
        <v>Horeca Smart</v>
      </c>
      <c r="C207" s="5" t="str">
        <f>VLOOKUP(A207,'[1]تحديث العملاء'!$A:$D,3,0)</f>
        <v xml:space="preserve">عملاء كاش </v>
      </c>
      <c r="D207" s="6" t="e">
        <f>VLOOKUP(A207,'09-09'!A:L,4,0)</f>
        <v>#N/A</v>
      </c>
      <c r="E207" s="5" t="str">
        <f>VLOOKUP(A207,'[1]تحديث العملاء'!$A:$D,4,0)</f>
        <v>Mona Mohamed</v>
      </c>
      <c r="F207" s="20">
        <v>0</v>
      </c>
      <c r="G207" s="20">
        <v>1175.9000000000001</v>
      </c>
      <c r="H207" s="20">
        <v>0</v>
      </c>
      <c r="I207" s="20">
        <v>0</v>
      </c>
      <c r="J207" s="20">
        <v>0</v>
      </c>
      <c r="K207" s="3"/>
      <c r="L207" s="3">
        <f t="shared" si="4"/>
        <v>1175.9000000000001</v>
      </c>
    </row>
    <row r="208" spans="1:12" ht="19.5" x14ac:dyDescent="0.4">
      <c r="A208" s="5" t="s">
        <v>247</v>
      </c>
      <c r="B208" s="5" t="str">
        <f>VLOOKUP(A208,'[1]تحديث العملاء'!$A:$D,2,0)</f>
        <v>Horeca Smart</v>
      </c>
      <c r="C208" s="5" t="str">
        <f>VLOOKUP(A208,'[1]تحديث العملاء'!$A:$D,3,0)</f>
        <v xml:space="preserve">عملاء كاش </v>
      </c>
      <c r="D208" s="6" t="str">
        <f>VLOOKUP(A208,'09-09'!A:L,4,0)</f>
        <v xml:space="preserve">الدفع الفوري </v>
      </c>
      <c r="E208" s="5" t="str">
        <f>VLOOKUP(A208,'[1]تحديث العملاء'!$A:$D,4,0)</f>
        <v>Naden Amgad</v>
      </c>
      <c r="F208" s="20">
        <v>0</v>
      </c>
      <c r="G208" s="20">
        <v>0</v>
      </c>
      <c r="H208" s="20">
        <v>0</v>
      </c>
      <c r="I208" s="20">
        <v>0</v>
      </c>
      <c r="J208" s="20">
        <v>1152.67</v>
      </c>
      <c r="K208" s="5"/>
      <c r="L208" s="3">
        <f t="shared" si="4"/>
        <v>1152.67</v>
      </c>
    </row>
    <row r="209" spans="1:12" ht="19.5" x14ac:dyDescent="0.4">
      <c r="A209" s="8" t="s">
        <v>249</v>
      </c>
      <c r="B209" s="5" t="str">
        <f>VLOOKUP(A209,'[1]تحديث العملاء'!$A:$D,2,0)</f>
        <v>Horeca Smart</v>
      </c>
      <c r="C209" s="5" t="str">
        <f>VLOOKUP(A209,'[1]تحديث العملاء'!$A:$D,3,0)</f>
        <v xml:space="preserve">عملاء كاش </v>
      </c>
      <c r="D209" s="6" t="str">
        <f>VLOOKUP(A209,'09-09'!A:L,4,0)</f>
        <v xml:space="preserve">الدفع الفوري </v>
      </c>
      <c r="E209" s="5" t="str">
        <f>VLOOKUP(A209,'[1]تحديث العملاء'!$A:$D,4,0)</f>
        <v>Mona Mohamed</v>
      </c>
      <c r="F209" s="20">
        <v>0</v>
      </c>
      <c r="G209" s="20">
        <v>0</v>
      </c>
      <c r="H209" s="20">
        <v>0</v>
      </c>
      <c r="I209" s="20">
        <v>0</v>
      </c>
      <c r="J209" s="20">
        <v>1017.43</v>
      </c>
      <c r="K209" s="3"/>
      <c r="L209" s="3">
        <f t="shared" si="4"/>
        <v>1017.43</v>
      </c>
    </row>
    <row r="210" spans="1:12" ht="19.5" x14ac:dyDescent="0.4">
      <c r="A210" s="5" t="s">
        <v>250</v>
      </c>
      <c r="B210" s="5" t="str">
        <f>VLOOKUP(A210,'[1]تحديث العملاء'!$A:$D,2,0)</f>
        <v>MAS</v>
      </c>
      <c r="C210" s="5" t="str">
        <f>VLOOKUP(A210,'[1]تحديث العملاء'!$A:$D,3,0)</f>
        <v>عملاء اجل</v>
      </c>
      <c r="D210" s="6" t="str">
        <f>VLOOKUP(A210,'09-09'!A:L,4,0)</f>
        <v>15 يوماً</v>
      </c>
      <c r="E210" s="5" t="str">
        <f>VLOOKUP(A210,'[1]تحديث العملاء'!$A:$D,4,0)</f>
        <v>Haddil Haron</v>
      </c>
      <c r="F210" s="20">
        <v>0</v>
      </c>
      <c r="G210" s="20">
        <v>0</v>
      </c>
      <c r="H210" s="20">
        <v>0</v>
      </c>
      <c r="I210" s="20">
        <v>0</v>
      </c>
      <c r="J210" s="20">
        <v>1003.26</v>
      </c>
      <c r="K210" s="5"/>
      <c r="L210" s="3">
        <f t="shared" si="4"/>
        <v>1003.26</v>
      </c>
    </row>
    <row r="211" spans="1:12" ht="19.5" x14ac:dyDescent="0.4">
      <c r="A211" s="8" t="s">
        <v>352</v>
      </c>
      <c r="B211" s="5" t="str">
        <f>VLOOKUP(A211,'[1]تحديث العملاء'!$A:$D,2,0)</f>
        <v>MAS</v>
      </c>
      <c r="C211" s="5" t="str">
        <f>VLOOKUP(A211,'[1]تحديث العملاء'!$A:$D,3,0)</f>
        <v xml:space="preserve">عملاء كاش </v>
      </c>
      <c r="D211" s="6" t="e">
        <f>VLOOKUP(A211,'09-09'!A:L,4,0)</f>
        <v>#N/A</v>
      </c>
      <c r="E211" s="5" t="str">
        <f>VLOOKUP(A211,'[1]تحديث العملاء'!$A:$D,4,0)</f>
        <v>Haddil Haron</v>
      </c>
      <c r="F211" s="20">
        <v>0</v>
      </c>
      <c r="G211" s="20">
        <v>975</v>
      </c>
      <c r="H211" s="20">
        <v>3</v>
      </c>
      <c r="I211" s="20">
        <v>-2.5</v>
      </c>
      <c r="J211" s="20">
        <v>0</v>
      </c>
      <c r="K211" s="3"/>
      <c r="L211" s="3">
        <f t="shared" si="4"/>
        <v>975.5</v>
      </c>
    </row>
    <row r="212" spans="1:12" ht="19.5" x14ac:dyDescent="0.4">
      <c r="A212" s="8" t="s">
        <v>380</v>
      </c>
      <c r="B212" s="5" t="e">
        <f>VLOOKUP(A212,'[1]تحديث العملاء'!$A:$D,2,0)</f>
        <v>#N/A</v>
      </c>
      <c r="C212" s="5" t="e">
        <f>VLOOKUP(A212,'[1]تحديث العملاء'!$A:$D,3,0)</f>
        <v>#N/A</v>
      </c>
      <c r="D212" s="6" t="e">
        <f>VLOOKUP(A212,'09-09'!A:L,4,0)</f>
        <v>#N/A</v>
      </c>
      <c r="E212" s="5" t="e">
        <f>VLOOKUP(A212,'[1]تحديث العملاء'!$A:$D,4,0)</f>
        <v>#N/A</v>
      </c>
      <c r="F212" s="20">
        <v>0</v>
      </c>
      <c r="G212" s="20">
        <v>975</v>
      </c>
      <c r="H212" s="20">
        <v>0</v>
      </c>
      <c r="I212" s="20">
        <v>0</v>
      </c>
      <c r="J212" s="20">
        <v>0</v>
      </c>
      <c r="K212" s="3"/>
      <c r="L212" s="3">
        <f t="shared" si="4"/>
        <v>975</v>
      </c>
    </row>
    <row r="213" spans="1:12" ht="19.5" x14ac:dyDescent="0.4">
      <c r="A213" s="5" t="s">
        <v>251</v>
      </c>
      <c r="B213" s="5" t="str">
        <f>VLOOKUP(A213,'[1]تحديث العملاء'!$A:$D,2,0)</f>
        <v>Horeca Smart</v>
      </c>
      <c r="C213" s="5" t="str">
        <f>VLOOKUP(A213,'[1]تحديث العملاء'!$A:$D,3,0)</f>
        <v xml:space="preserve">عملاء كاش </v>
      </c>
      <c r="D213" s="6" t="str">
        <f>VLOOKUP(A213,'09-09'!A:L,4,0)</f>
        <v xml:space="preserve">الدفع الفوري </v>
      </c>
      <c r="E213" s="5" t="str">
        <f>VLOOKUP(A213,'[1]تحديث العملاء'!$A:$D,4,0)</f>
        <v>Donia Khaled</v>
      </c>
      <c r="F213" s="20">
        <v>0</v>
      </c>
      <c r="G213" s="20">
        <v>0.24</v>
      </c>
      <c r="H213" s="20">
        <v>0</v>
      </c>
      <c r="I213" s="20">
        <v>0</v>
      </c>
      <c r="J213" s="20">
        <v>871</v>
      </c>
      <c r="K213" s="5"/>
      <c r="L213" s="3">
        <f t="shared" si="4"/>
        <v>871.24</v>
      </c>
    </row>
    <row r="214" spans="1:12" ht="19.5" x14ac:dyDescent="0.4">
      <c r="A214" s="8" t="s">
        <v>252</v>
      </c>
      <c r="B214" s="5" t="str">
        <f>VLOOKUP(A214,'[1]تحديث العملاء'!$A:$D,2,0)</f>
        <v>Horeca Smart</v>
      </c>
      <c r="C214" s="5" t="str">
        <f>VLOOKUP(A214,'[1]تحديث العملاء'!$A:$D,3,0)</f>
        <v xml:space="preserve">عملاء كاش </v>
      </c>
      <c r="D214" s="6" t="str">
        <f>VLOOKUP(A214,'09-09'!A:L,4,0)</f>
        <v xml:space="preserve">الدفع الفوري </v>
      </c>
      <c r="E214" s="5" t="str">
        <f>VLOOKUP(A214,'[1]تحديث العملاء'!$A:$D,4,0)</f>
        <v>Lames Magdy</v>
      </c>
      <c r="F214" s="20">
        <v>0</v>
      </c>
      <c r="G214" s="20">
        <v>0</v>
      </c>
      <c r="H214" s="20">
        <v>0</v>
      </c>
      <c r="I214" s="20">
        <v>0</v>
      </c>
      <c r="J214" s="20">
        <v>820</v>
      </c>
      <c r="K214" s="3"/>
      <c r="L214" s="3">
        <f t="shared" si="4"/>
        <v>820</v>
      </c>
    </row>
    <row r="215" spans="1:12" ht="19.5" x14ac:dyDescent="0.4">
      <c r="A215" s="8" t="s">
        <v>263</v>
      </c>
      <c r="B215" s="5" t="str">
        <f>VLOOKUP(A215,'[1]تحديث العملاء'!$A:$D,2,0)</f>
        <v>Horeca Smart</v>
      </c>
      <c r="C215" s="5" t="str">
        <f>VLOOKUP(A215,'[1]تحديث العملاء'!$A:$D,3,0)</f>
        <v xml:space="preserve">عملاء كاش </v>
      </c>
      <c r="D215" s="6" t="str">
        <f>VLOOKUP(A215,'09-09'!A:L,4,0)</f>
        <v xml:space="preserve">الدفع الفوري </v>
      </c>
      <c r="E215" s="5" t="str">
        <f>VLOOKUP(A215,'[1]تحديث العملاء'!$A:$D,4,0)</f>
        <v>Naden Amgad</v>
      </c>
      <c r="F215" s="20">
        <v>0</v>
      </c>
      <c r="G215" s="20">
        <v>805.36</v>
      </c>
      <c r="H215" s="20">
        <v>1</v>
      </c>
      <c r="I215" s="20">
        <v>0</v>
      </c>
      <c r="J215" s="20">
        <v>0</v>
      </c>
      <c r="K215" s="3"/>
      <c r="L215" s="3">
        <f t="shared" si="4"/>
        <v>806.36</v>
      </c>
    </row>
    <row r="216" spans="1:12" ht="19.5" x14ac:dyDescent="0.4">
      <c r="A216" s="8" t="s">
        <v>202</v>
      </c>
      <c r="B216" s="5" t="str">
        <f>VLOOKUP(A216,'[1]تحديث العملاء'!$A:$D,2,0)</f>
        <v>Horeca Smart</v>
      </c>
      <c r="C216" s="5" t="str">
        <f>VLOOKUP(A216,'[1]تحديث العملاء'!$A:$D,3,0)</f>
        <v xml:space="preserve">عملاء كاش </v>
      </c>
      <c r="D216" s="6" t="e">
        <f>VLOOKUP(A216,'09-09'!A:L,4,0)</f>
        <v>#N/A</v>
      </c>
      <c r="E216" s="5" t="str">
        <f>VLOOKUP(A216,'[1]تحديث العملاء'!$A:$D,4,0)</f>
        <v>Lames Magdy</v>
      </c>
      <c r="F216" s="20">
        <v>0</v>
      </c>
      <c r="G216" s="20">
        <v>658.34</v>
      </c>
      <c r="H216" s="20">
        <v>0</v>
      </c>
      <c r="I216" s="20">
        <v>0</v>
      </c>
      <c r="J216" s="20">
        <v>0</v>
      </c>
      <c r="K216" s="3"/>
      <c r="L216" s="3">
        <f t="shared" si="4"/>
        <v>658.34</v>
      </c>
    </row>
    <row r="217" spans="1:12" ht="19.5" x14ac:dyDescent="0.4">
      <c r="A217" s="8" t="s">
        <v>253</v>
      </c>
      <c r="B217" s="5" t="str">
        <f>VLOOKUP(A217,'[1]تحديث العملاء'!$A:$D,2,0)</f>
        <v>Horeca Smart</v>
      </c>
      <c r="C217" s="5" t="str">
        <f>VLOOKUP(A217,'[1]تحديث العملاء'!$A:$D,3,0)</f>
        <v xml:space="preserve">عملاء كاش </v>
      </c>
      <c r="D217" s="6" t="str">
        <f>VLOOKUP(A217,'09-09'!A:L,4,0)</f>
        <v xml:space="preserve">الدفع الفوري </v>
      </c>
      <c r="E217" s="5" t="str">
        <f>VLOOKUP(A217,'[1]تحديث العملاء'!$A:$D,4,0)</f>
        <v>Lames Magdy</v>
      </c>
      <c r="F217" s="20">
        <v>0</v>
      </c>
      <c r="G217" s="20">
        <v>0</v>
      </c>
      <c r="H217" s="20">
        <v>0</v>
      </c>
      <c r="I217" s="20">
        <v>652.76</v>
      </c>
      <c r="J217" s="20">
        <v>0</v>
      </c>
      <c r="K217" s="3"/>
      <c r="L217" s="3">
        <f t="shared" si="4"/>
        <v>652.76</v>
      </c>
    </row>
    <row r="218" spans="1:12" ht="19.5" x14ac:dyDescent="0.4">
      <c r="A218" s="8" t="s">
        <v>254</v>
      </c>
      <c r="B218" s="5" t="str">
        <f>VLOOKUP(A218,'[1]تحديث العملاء'!$A:$D,2,0)</f>
        <v>MAS</v>
      </c>
      <c r="C218" s="5" t="str">
        <f>VLOOKUP(A218,'[1]تحديث العملاء'!$A:$D,3,0)</f>
        <v xml:space="preserve">عملاء كاش </v>
      </c>
      <c r="D218" s="6" t="str">
        <f>VLOOKUP(A218,'09-09'!A:L,4,0)</f>
        <v xml:space="preserve">الدفع الفوري </v>
      </c>
      <c r="E218" s="5" t="str">
        <f>VLOOKUP(A218,'[1]تحديث العملاء'!$A:$D,4,0)</f>
        <v>Haddil Haron</v>
      </c>
      <c r="F218" s="20">
        <v>0</v>
      </c>
      <c r="G218" s="20">
        <v>0</v>
      </c>
      <c r="H218" s="20">
        <v>0</v>
      </c>
      <c r="I218" s="20">
        <v>0</v>
      </c>
      <c r="J218" s="20">
        <v>635</v>
      </c>
      <c r="K218" s="3"/>
      <c r="L218" s="3">
        <f t="shared" si="4"/>
        <v>635</v>
      </c>
    </row>
    <row r="219" spans="1:12" ht="19.5" x14ac:dyDescent="0.4">
      <c r="A219" s="8" t="s">
        <v>381</v>
      </c>
      <c r="B219" s="5" t="str">
        <f>VLOOKUP(A219,'[1]تحديث العملاء'!$A:$D,2,0)</f>
        <v>Horeca Smart</v>
      </c>
      <c r="C219" s="5" t="str">
        <f>VLOOKUP(A219,'[1]تحديث العملاء'!$A:$D,3,0)</f>
        <v xml:space="preserve">عملاء كاش </v>
      </c>
      <c r="D219" s="6" t="e">
        <f>VLOOKUP(A219,'09-09'!A:L,4,0)</f>
        <v>#N/A</v>
      </c>
      <c r="E219" s="5" t="str">
        <f>VLOOKUP(A219,'[1]تحديث العملاء'!$A:$D,4,0)</f>
        <v>Reham Maher</v>
      </c>
      <c r="F219" s="20">
        <v>0</v>
      </c>
      <c r="G219" s="20">
        <v>629</v>
      </c>
      <c r="H219" s="20">
        <v>0</v>
      </c>
      <c r="I219" s="20">
        <v>0</v>
      </c>
      <c r="J219" s="20">
        <v>0</v>
      </c>
      <c r="K219" s="3"/>
      <c r="L219" s="3">
        <f t="shared" si="4"/>
        <v>629</v>
      </c>
    </row>
    <row r="220" spans="1:12" ht="19.5" x14ac:dyDescent="0.4">
      <c r="A220" s="8" t="s">
        <v>255</v>
      </c>
      <c r="B220" s="5" t="str">
        <f>VLOOKUP(A220,'[1]تحديث العملاء'!$A:$D,2,0)</f>
        <v>Horeca Smart</v>
      </c>
      <c r="C220" s="5" t="str">
        <f>VLOOKUP(A220,'[1]تحديث العملاء'!$A:$D,3,0)</f>
        <v xml:space="preserve">عملاء كاش </v>
      </c>
      <c r="D220" s="6" t="str">
        <f>VLOOKUP(A220,'09-09'!A:L,4,0)</f>
        <v xml:space="preserve">الدفع الفوري </v>
      </c>
      <c r="E220" s="5" t="str">
        <f>VLOOKUP(A220,'[1]تحديث العملاء'!$A:$D,4,0)</f>
        <v>Lames Magdy</v>
      </c>
      <c r="F220" s="20">
        <v>0</v>
      </c>
      <c r="G220" s="20">
        <v>0</v>
      </c>
      <c r="H220" s="20">
        <v>0</v>
      </c>
      <c r="I220" s="20">
        <v>0</v>
      </c>
      <c r="J220" s="20">
        <v>622.5</v>
      </c>
      <c r="K220" s="3"/>
      <c r="L220" s="3">
        <f t="shared" si="4"/>
        <v>622.5</v>
      </c>
    </row>
    <row r="221" spans="1:12" ht="19.5" x14ac:dyDescent="0.4">
      <c r="A221" s="5" t="s">
        <v>186</v>
      </c>
      <c r="B221" s="5" t="str">
        <f>VLOOKUP(A221,'[1]تحديث العملاء'!$A:$D,2,0)</f>
        <v>Horeca Smart</v>
      </c>
      <c r="C221" s="5" t="str">
        <f>VLOOKUP(A221,'[1]تحديث العملاء'!$A:$D,3,0)</f>
        <v xml:space="preserve">عملاء كاش </v>
      </c>
      <c r="D221" s="6" t="str">
        <f>VLOOKUP(A221,'09-09'!A:L,4,0)</f>
        <v xml:space="preserve">الدفع الفوري </v>
      </c>
      <c r="E221" s="5" t="str">
        <f>VLOOKUP(A221,'[1]تحديث العملاء'!$A:$D,4,0)</f>
        <v>Lames Magdy</v>
      </c>
      <c r="F221" s="20">
        <v>0</v>
      </c>
      <c r="G221" s="20">
        <v>0</v>
      </c>
      <c r="H221" s="20">
        <v>504.5</v>
      </c>
      <c r="I221" s="20">
        <v>0</v>
      </c>
      <c r="J221" s="20">
        <v>0</v>
      </c>
      <c r="K221" s="5"/>
      <c r="L221" s="3">
        <f t="shared" si="4"/>
        <v>504.5</v>
      </c>
    </row>
    <row r="222" spans="1:12" ht="19.5" x14ac:dyDescent="0.4">
      <c r="A222" s="8" t="s">
        <v>140</v>
      </c>
      <c r="B222" s="5" t="str">
        <f>VLOOKUP(A222,'[1]تحديث العملاء'!$A:$D,2,0)</f>
        <v>Horeca Smart</v>
      </c>
      <c r="C222" s="5" t="str">
        <f>VLOOKUP(A222,'[1]تحديث العملاء'!$A:$D,3,0)</f>
        <v xml:space="preserve">عملاء كاش </v>
      </c>
      <c r="D222" s="6" t="str">
        <f>VLOOKUP(A222,'09-09'!A:L,4,0)</f>
        <v xml:space="preserve">الدفع الفوري </v>
      </c>
      <c r="E222" s="5" t="str">
        <f>VLOOKUP(A222,'[1]تحديث العملاء'!$A:$D,4,0)</f>
        <v>Donia Khaled</v>
      </c>
      <c r="F222" s="20">
        <v>0</v>
      </c>
      <c r="G222" s="20">
        <v>457.2</v>
      </c>
      <c r="H222" s="20">
        <v>0</v>
      </c>
      <c r="I222" s="20">
        <v>0</v>
      </c>
      <c r="J222" s="20">
        <v>0</v>
      </c>
      <c r="K222" s="3"/>
      <c r="L222" s="3">
        <f t="shared" si="4"/>
        <v>457.2</v>
      </c>
    </row>
    <row r="223" spans="1:12" ht="19.5" x14ac:dyDescent="0.4">
      <c r="A223" s="8" t="s">
        <v>258</v>
      </c>
      <c r="B223" s="5" t="str">
        <f>VLOOKUP(A223,'[1]تحديث العملاء'!$A:$D,2,0)</f>
        <v>MAS</v>
      </c>
      <c r="C223" s="5" t="str">
        <f>VLOOKUP(A223,'[1]تحديث العملاء'!$A:$D,3,0)</f>
        <v>عميل - مورد</v>
      </c>
      <c r="D223" s="6">
        <f>VLOOKUP(A223,'09-09'!A:L,4,0)</f>
        <v>0</v>
      </c>
      <c r="E223" s="5" t="str">
        <f>VLOOKUP(A223,'[1]تحديث العملاء'!$A:$D,4,0)</f>
        <v>Amgad Ahmed</v>
      </c>
      <c r="F223" s="20">
        <v>0</v>
      </c>
      <c r="G223" s="20">
        <v>0</v>
      </c>
      <c r="H223" s="20">
        <v>0</v>
      </c>
      <c r="I223" s="20">
        <v>0</v>
      </c>
      <c r="J223" s="20">
        <v>454</v>
      </c>
      <c r="K223" s="3"/>
      <c r="L223" s="3">
        <f t="shared" si="4"/>
        <v>454</v>
      </c>
    </row>
    <row r="224" spans="1:12" ht="19.5" x14ac:dyDescent="0.4">
      <c r="A224" s="5" t="s">
        <v>295</v>
      </c>
      <c r="B224" s="5" t="str">
        <f>VLOOKUP(A224,'[1]تحديث العملاء'!$A:$D,2,0)</f>
        <v>Horeca Smart</v>
      </c>
      <c r="C224" s="5" t="str">
        <f>VLOOKUP(A224,'[1]تحديث العملاء'!$A:$D,3,0)</f>
        <v xml:space="preserve">عملاء كاش </v>
      </c>
      <c r="D224" s="6" t="str">
        <f>VLOOKUP(A224,'09-09'!A:L,4,0)</f>
        <v xml:space="preserve">الدفع الفوري </v>
      </c>
      <c r="E224" s="5" t="str">
        <f>VLOOKUP(A224,'[1]تحديث العملاء'!$A:$D,4,0)</f>
        <v>Mona Mohamed</v>
      </c>
      <c r="F224" s="20">
        <v>0</v>
      </c>
      <c r="G224" s="20">
        <v>0</v>
      </c>
      <c r="H224" s="20">
        <v>-2049</v>
      </c>
      <c r="I224" s="20">
        <v>0</v>
      </c>
      <c r="J224" s="20">
        <v>2492.4299999999998</v>
      </c>
      <c r="K224" s="5"/>
      <c r="L224" s="3">
        <f t="shared" si="4"/>
        <v>443.42999999999984</v>
      </c>
    </row>
    <row r="225" spans="1:12" ht="19.5" x14ac:dyDescent="0.4">
      <c r="A225" s="8" t="s">
        <v>261</v>
      </c>
      <c r="B225" s="5" t="str">
        <f>VLOOKUP(A225,'[1]تحديث العملاء'!$A:$D,2,0)</f>
        <v>Horeca Smart</v>
      </c>
      <c r="C225" s="5" t="str">
        <f>VLOOKUP(A225,'[1]تحديث العملاء'!$A:$D,3,0)</f>
        <v xml:space="preserve">عملاء كاش </v>
      </c>
      <c r="D225" s="6" t="str">
        <f>VLOOKUP(A225,'09-09'!A:L,4,0)</f>
        <v xml:space="preserve">الدفع الفوري </v>
      </c>
      <c r="E225" s="5" t="str">
        <f>VLOOKUP(A225,'[1]تحديث العملاء'!$A:$D,4,0)</f>
        <v>Naden Amgad</v>
      </c>
      <c r="F225" s="20">
        <v>0</v>
      </c>
      <c r="G225" s="20">
        <v>0</v>
      </c>
      <c r="H225" s="20">
        <v>435</v>
      </c>
      <c r="I225" s="20">
        <v>0</v>
      </c>
      <c r="J225" s="20">
        <v>0</v>
      </c>
      <c r="K225" s="3"/>
      <c r="L225" s="3">
        <f t="shared" si="4"/>
        <v>435</v>
      </c>
    </row>
    <row r="226" spans="1:12" ht="19.5" x14ac:dyDescent="0.4">
      <c r="A226" s="8" t="s">
        <v>262</v>
      </c>
      <c r="B226" s="5" t="str">
        <f>VLOOKUP(A226,'[1]تحديث العملاء'!$A:$D,2,0)</f>
        <v>Horeca Smart</v>
      </c>
      <c r="C226" s="5" t="str">
        <f>VLOOKUP(A226,'[1]تحديث العملاء'!$A:$D,3,0)</f>
        <v xml:space="preserve">عملاء كاش </v>
      </c>
      <c r="D226" s="6" t="str">
        <f>VLOOKUP(A226,'09-09'!A:L,4,0)</f>
        <v xml:space="preserve">الدفع الفوري </v>
      </c>
      <c r="E226" s="5" t="str">
        <f>VLOOKUP(A226,'[1]تحديث العملاء'!$A:$D,4,0)</f>
        <v>Lames Magdy</v>
      </c>
      <c r="F226" s="20">
        <v>0</v>
      </c>
      <c r="G226" s="20">
        <v>0</v>
      </c>
      <c r="H226" s="20">
        <v>0</v>
      </c>
      <c r="I226" s="20">
        <v>0</v>
      </c>
      <c r="J226" s="20">
        <v>365</v>
      </c>
      <c r="K226" s="3"/>
      <c r="L226" s="3">
        <f t="shared" si="4"/>
        <v>365</v>
      </c>
    </row>
    <row r="227" spans="1:12" ht="19.5" x14ac:dyDescent="0.4">
      <c r="A227" s="5" t="s">
        <v>312</v>
      </c>
      <c r="B227" s="5" t="str">
        <f>VLOOKUP(A227,'[1]تحديث العملاء'!$A:$D,2,0)</f>
        <v>Horeca Smart</v>
      </c>
      <c r="C227" s="5" t="str">
        <f>VLOOKUP(A227,'[1]تحديث العملاء'!$A:$D,3,0)</f>
        <v xml:space="preserve">عملاء كاش </v>
      </c>
      <c r="D227" s="6" t="str">
        <f>VLOOKUP(A227,'09-09'!A:L,4,0)</f>
        <v xml:space="preserve">الدفع الفوري </v>
      </c>
      <c r="E227" s="5" t="str">
        <f>VLOOKUP(A227,'[1]تحديث العملاء'!$A:$D,4,0)</f>
        <v>Lames Magdy</v>
      </c>
      <c r="F227" s="20">
        <v>0</v>
      </c>
      <c r="G227" s="20">
        <v>368</v>
      </c>
      <c r="H227" s="20">
        <v>-20</v>
      </c>
      <c r="I227" s="20">
        <v>0</v>
      </c>
      <c r="J227" s="20">
        <v>0</v>
      </c>
      <c r="K227" s="5"/>
      <c r="L227" s="3">
        <f t="shared" si="4"/>
        <v>348</v>
      </c>
    </row>
    <row r="228" spans="1:12" ht="19.5" x14ac:dyDescent="0.4">
      <c r="A228" s="8" t="s">
        <v>264</v>
      </c>
      <c r="B228" s="5" t="str">
        <f>VLOOKUP(A228,'[1]تحديث العملاء'!$A:$D,2,0)</f>
        <v>Horeca Smart</v>
      </c>
      <c r="C228" s="5" t="str">
        <f>VLOOKUP(A228,'[1]تحديث العملاء'!$A:$D,3,0)</f>
        <v xml:space="preserve">عملاء كاش </v>
      </c>
      <c r="D228" s="6" t="str">
        <f>VLOOKUP(A228,'09-09'!A:L,4,0)</f>
        <v xml:space="preserve">الدفع الفوري </v>
      </c>
      <c r="E228" s="5" t="str">
        <f>VLOOKUP(A228,'[1]تحديث العملاء'!$A:$D,4,0)</f>
        <v>Donia Khaled</v>
      </c>
      <c r="F228" s="20">
        <v>0</v>
      </c>
      <c r="G228" s="20">
        <v>-5.72</v>
      </c>
      <c r="H228" s="20">
        <v>296.72000000000003</v>
      </c>
      <c r="I228" s="20">
        <v>0</v>
      </c>
      <c r="J228" s="20">
        <v>0</v>
      </c>
      <c r="K228" s="3"/>
      <c r="L228" s="3">
        <f t="shared" si="4"/>
        <v>291</v>
      </c>
    </row>
    <row r="229" spans="1:12" ht="19.5" x14ac:dyDescent="0.4">
      <c r="A229" s="8" t="s">
        <v>344</v>
      </c>
      <c r="B229" s="5" t="e">
        <f>VLOOKUP(A229,'[1]تحديث العملاء'!$A:$D,2,0)</f>
        <v>#N/A</v>
      </c>
      <c r="C229" s="5" t="e">
        <f>VLOOKUP(A229,'[1]تحديث العملاء'!$A:$D,3,0)</f>
        <v>#N/A</v>
      </c>
      <c r="D229" s="6" t="e">
        <f>VLOOKUP(A229,'09-09'!A:L,4,0)</f>
        <v>#N/A</v>
      </c>
      <c r="E229" s="5" t="e">
        <f>VLOOKUP(A229,'[1]تحديث العملاء'!$A:$D,4,0)</f>
        <v>#N/A</v>
      </c>
      <c r="F229" s="20">
        <v>0</v>
      </c>
      <c r="G229" s="20">
        <v>250.33</v>
      </c>
      <c r="H229" s="20">
        <v>0</v>
      </c>
      <c r="I229" s="20">
        <v>0</v>
      </c>
      <c r="J229" s="20">
        <v>0</v>
      </c>
      <c r="K229" s="3"/>
      <c r="L229" s="3">
        <f t="shared" si="4"/>
        <v>250.33</v>
      </c>
    </row>
    <row r="230" spans="1:12" ht="19.5" x14ac:dyDescent="0.4">
      <c r="A230" s="5" t="s">
        <v>360</v>
      </c>
      <c r="B230" s="5" t="str">
        <f>VLOOKUP(A230,'[1]تحديث العملاء'!$A:$D,2,0)</f>
        <v>Horeca Smart</v>
      </c>
      <c r="C230" s="5" t="str">
        <f>VLOOKUP(A230,'[1]تحديث العملاء'!$A:$D,3,0)</f>
        <v xml:space="preserve">عملاء كاش </v>
      </c>
      <c r="D230" s="6" t="e">
        <f>VLOOKUP(A230,'09-09'!A:L,4,0)</f>
        <v>#N/A</v>
      </c>
      <c r="E230" s="5" t="str">
        <f>VLOOKUP(A230,'[1]تحديث العملاء'!$A:$D,4,0)</f>
        <v>Lames Magdy</v>
      </c>
      <c r="F230" s="20">
        <v>0</v>
      </c>
      <c r="G230" s="20">
        <v>233.24</v>
      </c>
      <c r="H230" s="20">
        <v>0</v>
      </c>
      <c r="I230" s="20">
        <v>0</v>
      </c>
      <c r="J230" s="20">
        <v>0</v>
      </c>
      <c r="K230" s="5"/>
      <c r="L230" s="3">
        <f t="shared" si="4"/>
        <v>233.24</v>
      </c>
    </row>
    <row r="231" spans="1:12" ht="19.5" x14ac:dyDescent="0.4">
      <c r="A231" s="8" t="s">
        <v>328</v>
      </c>
      <c r="B231" s="5" t="str">
        <f>VLOOKUP(A231,'[1]تحديث العملاء'!$A:$D,2,0)</f>
        <v>Horeca Smart</v>
      </c>
      <c r="C231" s="5" t="str">
        <f>VLOOKUP(A231,'[1]تحديث العملاء'!$A:$D,3,0)</f>
        <v xml:space="preserve">عملاء كاش </v>
      </c>
      <c r="D231" s="6" t="str">
        <f>VLOOKUP(A231,'09-09'!A:L,4,0)</f>
        <v xml:space="preserve">الدفع الفوري </v>
      </c>
      <c r="E231" s="5" t="str">
        <f>VLOOKUP(A231,'[1]تحديث العملاء'!$A:$D,4,0)</f>
        <v>Naden Amgad</v>
      </c>
      <c r="F231" s="20">
        <v>0</v>
      </c>
      <c r="G231" s="20">
        <v>212.57</v>
      </c>
      <c r="H231" s="20">
        <v>0</v>
      </c>
      <c r="I231" s="20">
        <v>0</v>
      </c>
      <c r="J231" s="20">
        <v>0</v>
      </c>
      <c r="K231" s="3"/>
      <c r="L231" s="3">
        <f t="shared" si="4"/>
        <v>212.57</v>
      </c>
    </row>
    <row r="232" spans="1:12" ht="19.5" x14ac:dyDescent="0.4">
      <c r="A232" s="5" t="s">
        <v>346</v>
      </c>
      <c r="B232" s="5" t="str">
        <f>VLOOKUP(A232,'[1]تحديث العملاء'!$A:$D,2,0)</f>
        <v>Horeca Smart</v>
      </c>
      <c r="C232" s="5" t="str">
        <f>VLOOKUP(A232,'[1]تحديث العملاء'!$A:$D,3,0)</f>
        <v xml:space="preserve">عملاء كاش </v>
      </c>
      <c r="D232" s="6" t="e">
        <f>VLOOKUP(A232,'09-09'!A:L,4,0)</f>
        <v>#N/A</v>
      </c>
      <c r="E232" s="5" t="str">
        <f>VLOOKUP(A232,'[1]تحديث العملاء'!$A:$D,4,0)</f>
        <v>Lames Magdy</v>
      </c>
      <c r="F232" s="20">
        <v>0</v>
      </c>
      <c r="G232" s="20">
        <v>200.02</v>
      </c>
      <c r="H232" s="20">
        <v>0</v>
      </c>
      <c r="I232" s="20">
        <v>0</v>
      </c>
      <c r="J232" s="20">
        <v>0</v>
      </c>
      <c r="K232" s="5"/>
      <c r="L232" s="3">
        <f t="shared" si="4"/>
        <v>200.02</v>
      </c>
    </row>
    <row r="233" spans="1:12" ht="19.5" x14ac:dyDescent="0.4">
      <c r="A233" s="8" t="s">
        <v>266</v>
      </c>
      <c r="B233" s="5" t="str">
        <f>VLOOKUP(A233,'[1]تحديث العملاء'!$A:$D,2,0)</f>
        <v>Horeca Smart</v>
      </c>
      <c r="C233" s="5" t="str">
        <f>VLOOKUP(A233,'[1]تحديث العملاء'!$A:$D,3,0)</f>
        <v xml:space="preserve">عملاء كاش </v>
      </c>
      <c r="D233" s="6" t="str">
        <f>VLOOKUP(A233,'09-09'!A:L,4,0)</f>
        <v xml:space="preserve">الدفع الفوري </v>
      </c>
      <c r="E233" s="5" t="str">
        <f>VLOOKUP(A233,'[1]تحديث العملاء'!$A:$D,4,0)</f>
        <v>Reham Maher</v>
      </c>
      <c r="F233" s="20">
        <v>0</v>
      </c>
      <c r="G233" s="20">
        <v>0</v>
      </c>
      <c r="H233" s="20">
        <v>246</v>
      </c>
      <c r="I233" s="20">
        <v>0</v>
      </c>
      <c r="J233" s="20">
        <v>-55.48</v>
      </c>
      <c r="K233" s="3"/>
      <c r="L233" s="3">
        <f t="shared" si="4"/>
        <v>190.52</v>
      </c>
    </row>
    <row r="234" spans="1:12" ht="19.5" x14ac:dyDescent="0.4">
      <c r="A234" s="8" t="s">
        <v>363</v>
      </c>
      <c r="B234" s="5"/>
      <c r="C234" s="5"/>
      <c r="D234" s="6"/>
      <c r="E234" s="5"/>
      <c r="F234" s="20">
        <v>0</v>
      </c>
      <c r="G234" s="20">
        <v>180.5</v>
      </c>
      <c r="H234" s="20">
        <v>0</v>
      </c>
      <c r="I234" s="20">
        <v>0</v>
      </c>
      <c r="J234" s="20">
        <v>0</v>
      </c>
      <c r="K234" s="3"/>
      <c r="L234" s="3"/>
    </row>
    <row r="235" spans="1:12" ht="19.5" x14ac:dyDescent="0.4">
      <c r="A235" s="8" t="s">
        <v>382</v>
      </c>
      <c r="B235" s="5"/>
      <c r="C235" s="5"/>
      <c r="D235" s="6"/>
      <c r="E235" s="5"/>
      <c r="F235" s="20">
        <v>0</v>
      </c>
      <c r="G235" s="20">
        <v>0</v>
      </c>
      <c r="H235" s="20">
        <v>0</v>
      </c>
      <c r="I235" s="20">
        <v>0</v>
      </c>
      <c r="J235" s="20">
        <v>80</v>
      </c>
      <c r="K235" s="3"/>
      <c r="L235" s="3"/>
    </row>
    <row r="236" spans="1:12" ht="19.5" x14ac:dyDescent="0.4">
      <c r="A236" s="8" t="s">
        <v>383</v>
      </c>
      <c r="B236" s="5"/>
      <c r="C236" s="5"/>
      <c r="D236" s="6"/>
      <c r="E236" s="5"/>
      <c r="F236" s="20">
        <v>0</v>
      </c>
      <c r="G236" s="20">
        <v>0</v>
      </c>
      <c r="H236" s="20">
        <v>50</v>
      </c>
      <c r="I236" s="20">
        <v>0</v>
      </c>
      <c r="J236" s="20">
        <v>0</v>
      </c>
      <c r="K236" s="3"/>
      <c r="L236" s="3"/>
    </row>
    <row r="237" spans="1:12" ht="19.5" x14ac:dyDescent="0.4">
      <c r="A237" s="8" t="s">
        <v>384</v>
      </c>
      <c r="B237" s="5"/>
      <c r="C237" s="5"/>
      <c r="D237" s="6"/>
      <c r="E237" s="5"/>
      <c r="F237" s="20">
        <v>0</v>
      </c>
      <c r="G237" s="20">
        <v>0</v>
      </c>
      <c r="H237" s="20">
        <v>19.98</v>
      </c>
      <c r="I237" s="20">
        <v>0</v>
      </c>
      <c r="J237" s="20">
        <v>0</v>
      </c>
      <c r="K237" s="3"/>
      <c r="L237" s="3"/>
    </row>
    <row r="238" spans="1:12" ht="19.5" x14ac:dyDescent="0.4">
      <c r="A238" s="8" t="s">
        <v>385</v>
      </c>
      <c r="B238" s="5"/>
      <c r="C238" s="5"/>
      <c r="D238" s="6"/>
      <c r="E238" s="5"/>
      <c r="F238" s="20">
        <v>0</v>
      </c>
      <c r="G238" s="20">
        <v>0</v>
      </c>
      <c r="H238" s="20">
        <v>5</v>
      </c>
      <c r="I238" s="20">
        <v>0</v>
      </c>
      <c r="J238" s="20">
        <v>0</v>
      </c>
      <c r="K238" s="3"/>
      <c r="L238" s="3"/>
    </row>
    <row r="239" spans="1:12" ht="19.5" x14ac:dyDescent="0.4">
      <c r="A239" s="8" t="s">
        <v>386</v>
      </c>
      <c r="B239" s="5"/>
      <c r="C239" s="5"/>
      <c r="D239" s="6"/>
      <c r="E239" s="5"/>
      <c r="F239" s="20">
        <v>0</v>
      </c>
      <c r="G239" s="20">
        <v>0</v>
      </c>
      <c r="H239" s="20">
        <v>2.52</v>
      </c>
      <c r="I239" s="20">
        <v>0</v>
      </c>
      <c r="J239" s="20">
        <v>0</v>
      </c>
      <c r="K239" s="3"/>
      <c r="L239" s="3"/>
    </row>
    <row r="240" spans="1:12" ht="19.5" x14ac:dyDescent="0.4">
      <c r="A240" s="8" t="s">
        <v>59</v>
      </c>
      <c r="B240" s="5"/>
      <c r="C240" s="5"/>
      <c r="D240" s="6"/>
      <c r="E240" s="5"/>
      <c r="F240" s="20">
        <v>0</v>
      </c>
      <c r="G240" s="20">
        <v>2.1</v>
      </c>
      <c r="H240" s="20">
        <v>0</v>
      </c>
      <c r="I240" s="20">
        <v>0</v>
      </c>
      <c r="J240" s="20">
        <v>0</v>
      </c>
      <c r="K240" s="3"/>
      <c r="L240" s="3"/>
    </row>
    <row r="241" spans="1:12" ht="19.5" x14ac:dyDescent="0.4">
      <c r="A241" s="8" t="s">
        <v>387</v>
      </c>
      <c r="B241" s="5"/>
      <c r="C241" s="5"/>
      <c r="D241" s="6"/>
      <c r="E241" s="5"/>
      <c r="F241" s="20">
        <v>0</v>
      </c>
      <c r="G241" s="20">
        <v>4.5</v>
      </c>
      <c r="H241" s="20">
        <v>-2.75</v>
      </c>
      <c r="I241" s="20">
        <v>0</v>
      </c>
      <c r="J241" s="20">
        <v>0</v>
      </c>
      <c r="K241" s="3"/>
      <c r="L241" s="3"/>
    </row>
    <row r="242" spans="1:12" ht="19.5" x14ac:dyDescent="0.4">
      <c r="A242" s="8" t="s">
        <v>388</v>
      </c>
      <c r="B242" s="5"/>
      <c r="C242" s="5"/>
      <c r="D242" s="6"/>
      <c r="E242" s="5"/>
      <c r="F242" s="20">
        <v>0</v>
      </c>
      <c r="G242" s="20">
        <v>0</v>
      </c>
      <c r="H242" s="20">
        <v>1.25</v>
      </c>
      <c r="I242" s="20">
        <v>0</v>
      </c>
      <c r="J242" s="20">
        <v>0</v>
      </c>
      <c r="K242" s="3"/>
      <c r="L242" s="3"/>
    </row>
    <row r="243" spans="1:12" ht="19.5" x14ac:dyDescent="0.4">
      <c r="A243" s="8" t="s">
        <v>389</v>
      </c>
      <c r="B243" s="5"/>
      <c r="C243" s="5"/>
      <c r="D243" s="6"/>
      <c r="E243" s="5"/>
      <c r="F243" s="20">
        <v>0</v>
      </c>
      <c r="G243" s="20">
        <v>0</v>
      </c>
      <c r="H243" s="20">
        <v>1</v>
      </c>
      <c r="I243" s="20">
        <v>0</v>
      </c>
      <c r="J243" s="20">
        <v>0</v>
      </c>
      <c r="K243" s="3"/>
      <c r="L243" s="3"/>
    </row>
    <row r="244" spans="1:12" ht="19.5" x14ac:dyDescent="0.4">
      <c r="A244" s="8" t="s">
        <v>390</v>
      </c>
      <c r="B244" s="5"/>
      <c r="C244" s="5"/>
      <c r="D244" s="6"/>
      <c r="E244" s="5"/>
      <c r="F244" s="20">
        <v>0</v>
      </c>
      <c r="G244" s="20">
        <v>0</v>
      </c>
      <c r="H244" s="20">
        <v>1</v>
      </c>
      <c r="I244" s="20">
        <v>0</v>
      </c>
      <c r="J244" s="20">
        <v>0</v>
      </c>
      <c r="K244" s="3"/>
      <c r="L244" s="3"/>
    </row>
    <row r="245" spans="1:12" ht="19.5" x14ac:dyDescent="0.4">
      <c r="A245" s="8" t="s">
        <v>391</v>
      </c>
      <c r="B245" s="5"/>
      <c r="C245" s="5"/>
      <c r="D245" s="6"/>
      <c r="E245" s="5"/>
      <c r="F245" s="20">
        <v>0</v>
      </c>
      <c r="G245" s="20">
        <v>-1.08</v>
      </c>
      <c r="H245" s="20">
        <v>1.04</v>
      </c>
      <c r="I245" s="20">
        <v>0.75</v>
      </c>
      <c r="J245" s="20">
        <v>0</v>
      </c>
      <c r="K245" s="3"/>
      <c r="L245" s="3"/>
    </row>
    <row r="246" spans="1:12" ht="19.5" x14ac:dyDescent="0.4">
      <c r="A246" s="8" t="s">
        <v>392</v>
      </c>
      <c r="B246" s="5"/>
      <c r="C246" s="5"/>
      <c r="D246" s="6"/>
      <c r="E246" s="5"/>
      <c r="F246" s="20">
        <v>0</v>
      </c>
      <c r="G246" s="20">
        <v>0</v>
      </c>
      <c r="H246" s="20">
        <v>0.6</v>
      </c>
      <c r="I246" s="20">
        <v>0</v>
      </c>
      <c r="J246" s="20">
        <v>0</v>
      </c>
      <c r="K246" s="3"/>
      <c r="L246" s="3"/>
    </row>
    <row r="247" spans="1:12" ht="19.5" x14ac:dyDescent="0.4">
      <c r="A247" s="8" t="s">
        <v>393</v>
      </c>
      <c r="B247" s="5"/>
      <c r="C247" s="5"/>
      <c r="D247" s="6"/>
      <c r="E247" s="5"/>
      <c r="F247" s="20">
        <v>0</v>
      </c>
      <c r="G247" s="20">
        <v>0</v>
      </c>
      <c r="H247" s="20">
        <v>0.5</v>
      </c>
      <c r="I247" s="20">
        <v>0</v>
      </c>
      <c r="J247" s="20">
        <v>0</v>
      </c>
      <c r="K247" s="3"/>
      <c r="L247" s="3"/>
    </row>
    <row r="248" spans="1:12" ht="19.5" x14ac:dyDescent="0.4">
      <c r="A248" s="8" t="s">
        <v>394</v>
      </c>
      <c r="B248" s="5"/>
      <c r="C248" s="5"/>
      <c r="D248" s="6"/>
      <c r="E248" s="5"/>
      <c r="F248" s="20">
        <v>0</v>
      </c>
      <c r="G248" s="20">
        <v>0.19</v>
      </c>
      <c r="H248" s="20">
        <v>0</v>
      </c>
      <c r="I248" s="20">
        <v>0.21</v>
      </c>
      <c r="J248" s="20">
        <v>0</v>
      </c>
      <c r="K248" s="3"/>
      <c r="L248" s="3"/>
    </row>
    <row r="249" spans="1:12" ht="19.5" x14ac:dyDescent="0.4">
      <c r="A249" s="8" t="s">
        <v>395</v>
      </c>
      <c r="B249" s="5"/>
      <c r="C249" s="5"/>
      <c r="D249" s="6"/>
      <c r="E249" s="5"/>
      <c r="F249" s="20">
        <v>0</v>
      </c>
      <c r="G249" s="20">
        <v>0</v>
      </c>
      <c r="H249" s="20">
        <v>0.33</v>
      </c>
      <c r="I249" s="20">
        <v>0</v>
      </c>
      <c r="J249" s="20">
        <v>0</v>
      </c>
      <c r="K249" s="3"/>
      <c r="L249" s="3"/>
    </row>
    <row r="250" spans="1:12" ht="19.5" x14ac:dyDescent="0.4">
      <c r="A250" s="8" t="s">
        <v>396</v>
      </c>
      <c r="B250" s="5"/>
      <c r="C250" s="5"/>
      <c r="D250" s="6"/>
      <c r="E250" s="5"/>
      <c r="F250" s="20">
        <v>0</v>
      </c>
      <c r="G250" s="20">
        <v>-0.39</v>
      </c>
      <c r="H250" s="20">
        <v>0.67</v>
      </c>
      <c r="I250" s="20">
        <v>0</v>
      </c>
      <c r="J250" s="20">
        <v>0</v>
      </c>
      <c r="K250" s="3"/>
      <c r="L250" s="3"/>
    </row>
    <row r="251" spans="1:12" ht="19.5" x14ac:dyDescent="0.4">
      <c r="A251" s="8" t="s">
        <v>397</v>
      </c>
      <c r="B251" s="5"/>
      <c r="C251" s="5"/>
      <c r="D251" s="6"/>
      <c r="E251" s="5"/>
      <c r="F251" s="20">
        <v>0</v>
      </c>
      <c r="G251" s="20">
        <v>0.25</v>
      </c>
      <c r="H251" s="20">
        <v>0</v>
      </c>
      <c r="I251" s="20">
        <v>0</v>
      </c>
      <c r="J251" s="20">
        <v>0</v>
      </c>
      <c r="K251" s="3"/>
      <c r="L251" s="3"/>
    </row>
    <row r="252" spans="1:12" ht="19.5" x14ac:dyDescent="0.4">
      <c r="A252" s="8" t="s">
        <v>188</v>
      </c>
      <c r="B252" s="5"/>
      <c r="C252" s="5"/>
      <c r="D252" s="6"/>
      <c r="E252" s="5"/>
      <c r="F252" s="20">
        <v>0</v>
      </c>
      <c r="G252" s="20">
        <v>-9356</v>
      </c>
      <c r="H252" s="20">
        <v>0</v>
      </c>
      <c r="I252" s="20">
        <v>0</v>
      </c>
      <c r="J252" s="20">
        <v>9356.17</v>
      </c>
      <c r="K252" s="3"/>
      <c r="L252" s="3"/>
    </row>
    <row r="253" spans="1:12" ht="19.5" x14ac:dyDescent="0.4">
      <c r="A253" s="8" t="s">
        <v>398</v>
      </c>
      <c r="B253" s="5"/>
      <c r="C253" s="5"/>
      <c r="D253" s="6"/>
      <c r="E253" s="5"/>
      <c r="F253" s="20">
        <v>0</v>
      </c>
      <c r="G253" s="20">
        <v>0</v>
      </c>
      <c r="H253" s="20">
        <v>0.16</v>
      </c>
      <c r="I253" s="20">
        <v>0</v>
      </c>
      <c r="J253" s="20">
        <v>0</v>
      </c>
      <c r="K253" s="3"/>
      <c r="L253" s="3"/>
    </row>
    <row r="254" spans="1:12" ht="19.5" x14ac:dyDescent="0.4">
      <c r="A254" s="8" t="s">
        <v>366</v>
      </c>
      <c r="B254" s="5"/>
      <c r="C254" s="5"/>
      <c r="D254" s="6"/>
      <c r="E254" s="5"/>
      <c r="F254" s="20">
        <v>0</v>
      </c>
      <c r="G254" s="20">
        <v>0</v>
      </c>
      <c r="H254" s="20">
        <v>0</v>
      </c>
      <c r="I254" s="20">
        <v>0.15</v>
      </c>
      <c r="J254" s="20">
        <v>0</v>
      </c>
      <c r="K254" s="3"/>
      <c r="L254" s="3"/>
    </row>
    <row r="255" spans="1:12" ht="19.5" x14ac:dyDescent="0.4">
      <c r="A255" s="8" t="s">
        <v>169</v>
      </c>
      <c r="B255" s="5"/>
      <c r="C255" s="5"/>
      <c r="D255" s="6"/>
      <c r="E255" s="5"/>
      <c r="F255" s="20">
        <v>-1.1000000000000001</v>
      </c>
      <c r="G255" s="20">
        <v>-518.9</v>
      </c>
      <c r="H255" s="20">
        <v>520.08000000000004</v>
      </c>
      <c r="I255" s="20">
        <v>0</v>
      </c>
      <c r="J255" s="20">
        <v>0</v>
      </c>
      <c r="K255" s="3"/>
      <c r="L255" s="3"/>
    </row>
    <row r="256" spans="1:12" ht="19.5" x14ac:dyDescent="0.4">
      <c r="A256" s="8" t="s">
        <v>234</v>
      </c>
      <c r="B256" s="5"/>
      <c r="C256" s="5"/>
      <c r="D256" s="6"/>
      <c r="E256" s="5"/>
      <c r="F256" s="20">
        <v>-1</v>
      </c>
      <c r="G256" s="20">
        <v>1</v>
      </c>
      <c r="H256" s="20">
        <v>0.04</v>
      </c>
      <c r="I256" s="20">
        <v>0</v>
      </c>
      <c r="J256" s="20">
        <v>0</v>
      </c>
      <c r="K256" s="3"/>
      <c r="L256" s="3"/>
    </row>
    <row r="257" spans="1:12" ht="19.5" x14ac:dyDescent="0.4">
      <c r="A257" s="8" t="s">
        <v>399</v>
      </c>
      <c r="B257" s="5"/>
      <c r="C257" s="5"/>
      <c r="D257" s="6"/>
      <c r="E257" s="5"/>
      <c r="F257" s="20">
        <v>-16.43</v>
      </c>
      <c r="G257" s="20">
        <v>0</v>
      </c>
      <c r="H257" s="20">
        <v>-3700</v>
      </c>
      <c r="I257" s="20">
        <v>0</v>
      </c>
      <c r="J257" s="20">
        <v>3716.43</v>
      </c>
      <c r="K257" s="3"/>
      <c r="L257" s="3"/>
    </row>
    <row r="258" spans="1:12" ht="19.5" x14ac:dyDescent="0.4">
      <c r="A258" s="8" t="s">
        <v>340</v>
      </c>
      <c r="B258" s="5"/>
      <c r="C258" s="5"/>
      <c r="D258" s="6"/>
      <c r="E258" s="5"/>
      <c r="F258" s="20">
        <v>0</v>
      </c>
      <c r="G258" s="20">
        <v>-85.42</v>
      </c>
      <c r="H258" s="20">
        <v>0</v>
      </c>
      <c r="I258" s="20">
        <v>293</v>
      </c>
      <c r="J258" s="20">
        <v>-207.58</v>
      </c>
      <c r="K258" s="3"/>
      <c r="L258" s="3"/>
    </row>
    <row r="259" spans="1:12" ht="19.5" x14ac:dyDescent="0.4">
      <c r="A259" s="8" t="s">
        <v>400</v>
      </c>
      <c r="B259" s="5"/>
      <c r="C259" s="5"/>
      <c r="D259" s="6"/>
      <c r="E259" s="5"/>
      <c r="F259" s="20">
        <v>0</v>
      </c>
      <c r="G259" s="20">
        <v>0.97</v>
      </c>
      <c r="H259" s="20">
        <v>179.03</v>
      </c>
      <c r="I259" s="20">
        <v>0</v>
      </c>
      <c r="J259" s="20">
        <v>-180</v>
      </c>
      <c r="K259" s="3"/>
      <c r="L259" s="3"/>
    </row>
    <row r="260" spans="1:12" ht="19.5" x14ac:dyDescent="0.4">
      <c r="A260" s="8" t="s">
        <v>401</v>
      </c>
      <c r="B260" s="5"/>
      <c r="C260" s="5"/>
      <c r="D260" s="6"/>
      <c r="E260" s="5"/>
      <c r="F260" s="20">
        <v>0.05</v>
      </c>
      <c r="G260" s="20">
        <v>1.92</v>
      </c>
      <c r="H260" s="20">
        <v>-1.97</v>
      </c>
      <c r="I260" s="20">
        <v>0</v>
      </c>
      <c r="J260" s="20">
        <v>0</v>
      </c>
      <c r="K260" s="3"/>
      <c r="L260" s="3"/>
    </row>
    <row r="261" spans="1:12" ht="19.5" x14ac:dyDescent="0.4">
      <c r="A261" s="8" t="s">
        <v>402</v>
      </c>
      <c r="B261" s="5"/>
      <c r="C261" s="5"/>
      <c r="D261" s="6"/>
      <c r="E261" s="5"/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3"/>
      <c r="L261" s="3"/>
    </row>
    <row r="262" spans="1:12" ht="19.5" x14ac:dyDescent="0.4">
      <c r="A262" s="8" t="s">
        <v>403</v>
      </c>
      <c r="B262" s="5"/>
      <c r="C262" s="5"/>
      <c r="D262" s="6"/>
      <c r="E262" s="5"/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3"/>
      <c r="L262" s="3"/>
    </row>
    <row r="263" spans="1:12" ht="19.5" x14ac:dyDescent="0.4">
      <c r="A263" s="8" t="s">
        <v>404</v>
      </c>
      <c r="B263" s="5"/>
      <c r="C263" s="5"/>
      <c r="D263" s="6"/>
      <c r="E263" s="5"/>
      <c r="F263" s="20">
        <v>0</v>
      </c>
      <c r="G263" s="20">
        <v>0</v>
      </c>
      <c r="H263" s="20">
        <v>0</v>
      </c>
      <c r="I263" s="20">
        <v>-2</v>
      </c>
      <c r="J263" s="20">
        <v>2</v>
      </c>
      <c r="K263" s="3"/>
      <c r="L263" s="3"/>
    </row>
    <row r="264" spans="1:12" ht="19.5" x14ac:dyDescent="0.4">
      <c r="A264" s="8" t="s">
        <v>405</v>
      </c>
      <c r="B264" s="5"/>
      <c r="C264" s="5"/>
      <c r="D264" s="6"/>
      <c r="E264" s="5"/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3"/>
      <c r="L264" s="3"/>
    </row>
    <row r="265" spans="1:12" ht="19.5" x14ac:dyDescent="0.4">
      <c r="A265" s="8" t="s">
        <v>276</v>
      </c>
      <c r="B265" s="5"/>
      <c r="C265" s="5"/>
      <c r="D265" s="6"/>
      <c r="E265" s="5"/>
      <c r="F265" s="20">
        <v>0</v>
      </c>
      <c r="G265" s="20">
        <v>635.5</v>
      </c>
      <c r="H265" s="20">
        <v>0</v>
      </c>
      <c r="I265" s="20">
        <v>-635.5</v>
      </c>
      <c r="J265" s="20">
        <v>0</v>
      </c>
      <c r="K265" s="3"/>
      <c r="L265" s="3"/>
    </row>
    <row r="266" spans="1:12" ht="19.5" x14ac:dyDescent="0.4">
      <c r="A266" s="8" t="s">
        <v>406</v>
      </c>
      <c r="B266" s="5"/>
      <c r="C266" s="5"/>
      <c r="D266" s="6"/>
      <c r="E266" s="5"/>
      <c r="F266" s="20">
        <v>-0.8</v>
      </c>
      <c r="G266" s="20">
        <v>0.8</v>
      </c>
      <c r="H266" s="20">
        <v>0</v>
      </c>
      <c r="I266" s="20">
        <v>0</v>
      </c>
      <c r="J266" s="20">
        <v>0</v>
      </c>
      <c r="K266" s="3"/>
      <c r="L266" s="3"/>
    </row>
    <row r="267" spans="1:12" ht="19.5" x14ac:dyDescent="0.4">
      <c r="A267" s="8" t="s">
        <v>407</v>
      </c>
      <c r="B267" s="5"/>
      <c r="C267" s="5"/>
      <c r="D267" s="6"/>
      <c r="E267" s="5"/>
      <c r="F267" s="20">
        <v>0</v>
      </c>
      <c r="G267" s="20">
        <v>0</v>
      </c>
      <c r="H267" s="20">
        <v>337</v>
      </c>
      <c r="I267" s="20">
        <v>0</v>
      </c>
      <c r="J267" s="20">
        <v>-337</v>
      </c>
      <c r="K267" s="3"/>
      <c r="L267" s="3"/>
    </row>
    <row r="268" spans="1:12" ht="19.5" x14ac:dyDescent="0.4">
      <c r="A268" s="8" t="s">
        <v>408</v>
      </c>
      <c r="B268" s="5"/>
      <c r="C268" s="5"/>
      <c r="D268" s="6"/>
      <c r="E268" s="5"/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3"/>
      <c r="L268" s="3"/>
    </row>
    <row r="269" spans="1:12" ht="19.5" x14ac:dyDescent="0.4">
      <c r="A269" s="8" t="s">
        <v>409</v>
      </c>
      <c r="B269" s="5"/>
      <c r="C269" s="5"/>
      <c r="D269" s="6"/>
      <c r="E269" s="5"/>
      <c r="F269" s="20">
        <v>0</v>
      </c>
      <c r="G269" s="20">
        <v>-0.5</v>
      </c>
      <c r="H269" s="20">
        <v>0.5</v>
      </c>
      <c r="I269" s="20">
        <v>0</v>
      </c>
      <c r="J269" s="20">
        <v>0</v>
      </c>
      <c r="K269" s="3"/>
      <c r="L269" s="3"/>
    </row>
    <row r="270" spans="1:12" ht="19.5" x14ac:dyDescent="0.4">
      <c r="A270" s="8" t="s">
        <v>410</v>
      </c>
      <c r="B270" s="5"/>
      <c r="C270" s="5"/>
      <c r="D270" s="6"/>
      <c r="E270" s="5"/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3"/>
      <c r="L270" s="3"/>
    </row>
    <row r="271" spans="1:12" ht="19.5" x14ac:dyDescent="0.4">
      <c r="A271" s="8" t="s">
        <v>411</v>
      </c>
      <c r="B271" s="5"/>
      <c r="C271" s="5"/>
      <c r="D271" s="6"/>
      <c r="E271" s="5"/>
      <c r="F271" s="20">
        <v>0</v>
      </c>
      <c r="G271" s="20">
        <v>6</v>
      </c>
      <c r="H271" s="20">
        <v>-6</v>
      </c>
      <c r="I271" s="20">
        <v>0</v>
      </c>
      <c r="J271" s="20">
        <v>0</v>
      </c>
      <c r="K271" s="3"/>
      <c r="L271" s="3"/>
    </row>
    <row r="272" spans="1:12" ht="19.5" x14ac:dyDescent="0.4">
      <c r="A272" s="8" t="s">
        <v>412</v>
      </c>
      <c r="B272" s="5"/>
      <c r="C272" s="5"/>
      <c r="D272" s="6"/>
      <c r="E272" s="5"/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3"/>
      <c r="L272" s="3"/>
    </row>
    <row r="273" spans="1:12" ht="19.5" x14ac:dyDescent="0.4">
      <c r="A273" s="8" t="s">
        <v>413</v>
      </c>
      <c r="B273" s="5"/>
      <c r="C273" s="5"/>
      <c r="D273" s="6"/>
      <c r="E273" s="5"/>
      <c r="F273" s="20">
        <v>-0.41</v>
      </c>
      <c r="G273" s="20">
        <v>0.41</v>
      </c>
      <c r="H273" s="20">
        <v>0</v>
      </c>
      <c r="I273" s="20">
        <v>0</v>
      </c>
      <c r="J273" s="20">
        <v>0</v>
      </c>
      <c r="K273" s="3"/>
      <c r="L273" s="3"/>
    </row>
    <row r="274" spans="1:12" ht="19.5" x14ac:dyDescent="0.4">
      <c r="A274" s="8" t="s">
        <v>220</v>
      </c>
      <c r="B274" s="3"/>
      <c r="C274" s="3"/>
      <c r="D274" s="3"/>
      <c r="E274" s="3"/>
      <c r="F274" s="20">
        <v>6700</v>
      </c>
      <c r="G274" s="20">
        <v>-6700</v>
      </c>
      <c r="H274" s="20">
        <v>0</v>
      </c>
      <c r="I274" s="20">
        <v>0</v>
      </c>
      <c r="J274" s="20">
        <v>0</v>
      </c>
      <c r="K274" s="3"/>
      <c r="L274" s="3"/>
    </row>
    <row r="275" spans="1:12" ht="19.5" x14ac:dyDescent="0.4">
      <c r="A275" s="8" t="s">
        <v>414</v>
      </c>
      <c r="B275" s="3"/>
      <c r="C275" s="3"/>
      <c r="D275" s="3"/>
      <c r="E275" s="3"/>
      <c r="F275" s="20">
        <v>0</v>
      </c>
      <c r="G275" s="20">
        <v>0</v>
      </c>
      <c r="H275" s="20">
        <v>0</v>
      </c>
      <c r="I275" s="20">
        <v>-907.13</v>
      </c>
      <c r="J275" s="20">
        <v>907.13</v>
      </c>
      <c r="K275" s="3"/>
      <c r="L275" s="3"/>
    </row>
    <row r="276" spans="1:12" ht="19.5" x14ac:dyDescent="0.4">
      <c r="A276" s="8" t="s">
        <v>415</v>
      </c>
      <c r="B276" s="3"/>
      <c r="C276" s="3"/>
      <c r="D276" s="3"/>
      <c r="E276" s="3"/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3"/>
      <c r="L276" s="3"/>
    </row>
    <row r="277" spans="1:12" ht="19.5" x14ac:dyDescent="0.4">
      <c r="A277" s="8" t="s">
        <v>147</v>
      </c>
      <c r="B277" s="3"/>
      <c r="C277" s="3"/>
      <c r="D277" s="3"/>
      <c r="E277" s="3"/>
      <c r="F277" s="20">
        <v>-47.7</v>
      </c>
      <c r="G277" s="20">
        <v>0</v>
      </c>
      <c r="H277" s="20">
        <v>47.7</v>
      </c>
      <c r="I277" s="20">
        <v>0</v>
      </c>
      <c r="J277" s="20">
        <v>0</v>
      </c>
      <c r="K277" s="3"/>
      <c r="L277" s="3"/>
    </row>
    <row r="278" spans="1:12" ht="19.5" x14ac:dyDescent="0.4">
      <c r="A278" s="8" t="s">
        <v>416</v>
      </c>
      <c r="B278" s="3"/>
      <c r="C278" s="3"/>
      <c r="D278" s="3"/>
      <c r="E278" s="3"/>
      <c r="F278" s="20">
        <v>-0.9</v>
      </c>
      <c r="G278" s="20">
        <v>0.9</v>
      </c>
      <c r="H278" s="20">
        <v>0</v>
      </c>
      <c r="I278" s="20">
        <v>0</v>
      </c>
      <c r="J278" s="20">
        <v>0</v>
      </c>
      <c r="K278" s="3"/>
      <c r="L278" s="3"/>
    </row>
    <row r="279" spans="1:12" ht="19.5" x14ac:dyDescent="0.4">
      <c r="A279" s="8" t="s">
        <v>417</v>
      </c>
      <c r="B279" s="3"/>
      <c r="C279" s="3"/>
      <c r="D279" s="3"/>
      <c r="E279" s="3"/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3"/>
      <c r="L279" s="3"/>
    </row>
    <row r="280" spans="1:12" ht="19.5" x14ac:dyDescent="0.4">
      <c r="A280" s="8" t="s">
        <v>418</v>
      </c>
      <c r="B280" s="3"/>
      <c r="C280" s="3"/>
      <c r="D280" s="3"/>
      <c r="E280" s="3"/>
      <c r="F280" s="20">
        <v>-2</v>
      </c>
      <c r="G280" s="20">
        <v>2</v>
      </c>
      <c r="H280" s="20">
        <v>0</v>
      </c>
      <c r="I280" s="20">
        <v>0</v>
      </c>
      <c r="J280" s="20">
        <v>0</v>
      </c>
      <c r="K280" s="3"/>
      <c r="L280" s="3"/>
    </row>
    <row r="281" spans="1:12" ht="19.5" x14ac:dyDescent="0.4">
      <c r="A281" s="8" t="s">
        <v>419</v>
      </c>
      <c r="B281" s="3"/>
      <c r="C281" s="3"/>
      <c r="D281" s="3"/>
      <c r="E281" s="3"/>
      <c r="F281" s="20">
        <v>0</v>
      </c>
      <c r="G281" s="20">
        <v>0.25</v>
      </c>
      <c r="H281" s="20">
        <v>-0.25</v>
      </c>
      <c r="I281" s="20">
        <v>0</v>
      </c>
      <c r="J281" s="20">
        <v>0</v>
      </c>
      <c r="K281" s="3"/>
      <c r="L281" s="3"/>
    </row>
    <row r="282" spans="1:12" ht="19.5" x14ac:dyDescent="0.4">
      <c r="A282" s="8" t="s">
        <v>420</v>
      </c>
      <c r="B282" s="3"/>
      <c r="C282" s="3"/>
      <c r="D282" s="3"/>
      <c r="E282" s="3"/>
      <c r="F282" s="20">
        <v>0</v>
      </c>
      <c r="G282" s="20">
        <v>1</v>
      </c>
      <c r="H282" s="20">
        <v>-1</v>
      </c>
      <c r="I282" s="20">
        <v>0</v>
      </c>
      <c r="J282" s="20">
        <v>0</v>
      </c>
      <c r="K282" s="3"/>
      <c r="L282" s="3"/>
    </row>
    <row r="283" spans="1:12" ht="19.5" x14ac:dyDescent="0.4">
      <c r="A283" s="8" t="s">
        <v>421</v>
      </c>
      <c r="B283" s="3"/>
      <c r="C283" s="3"/>
      <c r="D283" s="3"/>
      <c r="E283" s="3"/>
      <c r="F283" s="20">
        <v>0.11</v>
      </c>
      <c r="G283" s="20">
        <v>-0.11</v>
      </c>
      <c r="H283" s="20">
        <v>0</v>
      </c>
      <c r="I283" s="20">
        <v>0</v>
      </c>
      <c r="J283" s="20">
        <v>0</v>
      </c>
      <c r="K283" s="3"/>
      <c r="L283" s="3"/>
    </row>
    <row r="284" spans="1:12" ht="19.5" x14ac:dyDescent="0.4">
      <c r="A284" s="8" t="s">
        <v>422</v>
      </c>
      <c r="B284" s="3"/>
      <c r="C284" s="3"/>
      <c r="D284" s="3"/>
      <c r="E284" s="3"/>
      <c r="F284" s="20">
        <v>0</v>
      </c>
      <c r="G284" s="20">
        <v>305</v>
      </c>
      <c r="H284" s="20">
        <v>-305</v>
      </c>
      <c r="I284" s="20">
        <v>0</v>
      </c>
      <c r="J284" s="20">
        <v>0</v>
      </c>
      <c r="K284" s="3"/>
      <c r="L284" s="3"/>
    </row>
    <row r="285" spans="1:12" ht="19.5" x14ac:dyDescent="0.4">
      <c r="A285" s="8" t="s">
        <v>423</v>
      </c>
      <c r="B285" s="3"/>
      <c r="C285" s="3"/>
      <c r="D285" s="3"/>
      <c r="E285" s="3"/>
      <c r="F285" s="20">
        <v>0</v>
      </c>
      <c r="G285" s="20">
        <v>-140900</v>
      </c>
      <c r="H285" s="20">
        <v>0</v>
      </c>
      <c r="I285" s="20">
        <v>0</v>
      </c>
      <c r="J285" s="20">
        <v>140900</v>
      </c>
      <c r="K285" s="3"/>
      <c r="L285" s="3"/>
    </row>
    <row r="286" spans="1:12" ht="19.5" x14ac:dyDescent="0.4">
      <c r="A286" s="8" t="s">
        <v>354</v>
      </c>
      <c r="B286" s="3"/>
      <c r="C286" s="3"/>
      <c r="D286" s="3"/>
      <c r="E286" s="3"/>
      <c r="F286" s="20">
        <v>0</v>
      </c>
      <c r="G286" s="20">
        <v>-3015</v>
      </c>
      <c r="H286" s="20">
        <v>0</v>
      </c>
      <c r="I286" s="20">
        <v>0</v>
      </c>
      <c r="J286" s="20">
        <v>3015</v>
      </c>
      <c r="K286" s="3"/>
      <c r="L286" s="3"/>
    </row>
    <row r="287" spans="1:12" ht="19.5" x14ac:dyDescent="0.4">
      <c r="A287" s="8" t="s">
        <v>182</v>
      </c>
      <c r="B287" s="3"/>
      <c r="C287" s="3"/>
      <c r="D287" s="3"/>
      <c r="E287" s="3"/>
      <c r="F287" s="20">
        <v>0</v>
      </c>
      <c r="G287" s="20">
        <v>337600</v>
      </c>
      <c r="H287" s="20">
        <v>-337600</v>
      </c>
      <c r="I287" s="20">
        <v>0</v>
      </c>
      <c r="J287" s="20">
        <v>0</v>
      </c>
      <c r="K287" s="3"/>
      <c r="L287" s="3"/>
    </row>
    <row r="288" spans="1:12" ht="19.5" x14ac:dyDescent="0.4">
      <c r="A288" s="8" t="s">
        <v>424</v>
      </c>
      <c r="B288" s="3"/>
      <c r="C288" s="3"/>
      <c r="D288" s="3"/>
      <c r="E288" s="3"/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3"/>
      <c r="L288" s="3"/>
    </row>
    <row r="289" spans="1:12" ht="19.5" x14ac:dyDescent="0.4">
      <c r="A289" s="8" t="s">
        <v>100</v>
      </c>
      <c r="B289" s="3"/>
      <c r="C289" s="3"/>
      <c r="D289" s="3"/>
      <c r="E289" s="3"/>
      <c r="F289" s="20">
        <v>0</v>
      </c>
      <c r="G289" s="20">
        <v>-152000</v>
      </c>
      <c r="H289" s="20">
        <v>152000</v>
      </c>
      <c r="I289" s="20">
        <v>0</v>
      </c>
      <c r="J289" s="20">
        <v>0</v>
      </c>
      <c r="K289" s="3"/>
      <c r="L289" s="3"/>
    </row>
    <row r="290" spans="1:12" ht="19.5" x14ac:dyDescent="0.4">
      <c r="A290" s="8" t="s">
        <v>425</v>
      </c>
      <c r="B290" s="3"/>
      <c r="C290" s="3"/>
      <c r="D290" s="3"/>
      <c r="E290" s="3"/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3"/>
      <c r="L290" s="3"/>
    </row>
    <row r="291" spans="1:12" ht="19.5" x14ac:dyDescent="0.4">
      <c r="A291" s="8" t="s">
        <v>426</v>
      </c>
      <c r="B291" s="3"/>
      <c r="C291" s="3"/>
      <c r="D291" s="3"/>
      <c r="E291" s="3"/>
      <c r="F291" s="20">
        <v>0</v>
      </c>
      <c r="G291" s="20">
        <v>26</v>
      </c>
      <c r="H291" s="20">
        <v>0</v>
      </c>
      <c r="I291" s="20">
        <v>-5</v>
      </c>
      <c r="J291" s="20">
        <v>-21</v>
      </c>
      <c r="K291" s="3"/>
      <c r="L291" s="3"/>
    </row>
    <row r="292" spans="1:12" ht="19.5" x14ac:dyDescent="0.4">
      <c r="A292" s="8" t="s">
        <v>272</v>
      </c>
      <c r="B292" s="3"/>
      <c r="C292" s="3"/>
      <c r="D292" s="3"/>
      <c r="E292" s="3"/>
      <c r="F292" s="20">
        <v>-100</v>
      </c>
      <c r="G292" s="20">
        <v>500</v>
      </c>
      <c r="H292" s="20">
        <v>0</v>
      </c>
      <c r="I292" s="20">
        <v>0</v>
      </c>
      <c r="J292" s="20">
        <v>-400</v>
      </c>
      <c r="K292" s="3"/>
      <c r="L292" s="3"/>
    </row>
    <row r="293" spans="1:12" ht="19.5" x14ac:dyDescent="0.4">
      <c r="A293" s="8" t="s">
        <v>427</v>
      </c>
      <c r="B293" s="3"/>
      <c r="C293" s="3"/>
      <c r="D293" s="3"/>
      <c r="E293" s="3"/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3"/>
      <c r="L293" s="3"/>
    </row>
    <row r="294" spans="1:12" ht="19.5" x14ac:dyDescent="0.4">
      <c r="A294" s="8" t="s">
        <v>428</v>
      </c>
      <c r="B294" s="3"/>
      <c r="C294" s="3"/>
      <c r="D294" s="3"/>
      <c r="E294" s="3"/>
      <c r="F294" s="20">
        <v>0</v>
      </c>
      <c r="G294" s="20">
        <v>0</v>
      </c>
      <c r="H294" s="20">
        <v>-55301.78</v>
      </c>
      <c r="I294" s="20">
        <v>0</v>
      </c>
      <c r="J294" s="20">
        <v>55301.78</v>
      </c>
      <c r="K294" s="3"/>
      <c r="L294" s="3"/>
    </row>
    <row r="295" spans="1:12" ht="19.5" x14ac:dyDescent="0.4">
      <c r="A295" s="8" t="s">
        <v>429</v>
      </c>
      <c r="B295" s="3"/>
      <c r="C295" s="3"/>
      <c r="D295" s="3"/>
      <c r="E295" s="3"/>
      <c r="F295" s="20">
        <v>0</v>
      </c>
      <c r="G295" s="20">
        <v>0</v>
      </c>
      <c r="H295" s="20">
        <v>-0.74</v>
      </c>
      <c r="I295" s="20">
        <v>0.74</v>
      </c>
      <c r="J295" s="20">
        <v>0</v>
      </c>
      <c r="K295" s="3"/>
      <c r="L295" s="3"/>
    </row>
    <row r="296" spans="1:12" ht="19.5" x14ac:dyDescent="0.4">
      <c r="A296" s="8" t="s">
        <v>430</v>
      </c>
      <c r="B296" s="3"/>
      <c r="C296" s="3"/>
      <c r="D296" s="3"/>
      <c r="E296" s="3"/>
      <c r="F296" s="20">
        <v>0</v>
      </c>
      <c r="G296" s="20">
        <v>94.3</v>
      </c>
      <c r="H296" s="20">
        <v>-94.3</v>
      </c>
      <c r="I296" s="20">
        <v>0</v>
      </c>
      <c r="J296" s="20">
        <v>0</v>
      </c>
      <c r="K296" s="3"/>
      <c r="L296" s="3"/>
    </row>
    <row r="297" spans="1:12" ht="19.5" x14ac:dyDescent="0.4">
      <c r="A297" s="8" t="s">
        <v>431</v>
      </c>
      <c r="B297" s="3"/>
      <c r="C297" s="3"/>
      <c r="D297" s="3"/>
      <c r="E297" s="3"/>
      <c r="F297" s="20">
        <v>0</v>
      </c>
      <c r="G297" s="20">
        <v>0</v>
      </c>
      <c r="H297" s="20">
        <v>-0.64</v>
      </c>
      <c r="I297" s="20">
        <v>0.64</v>
      </c>
      <c r="J297" s="20">
        <v>0</v>
      </c>
      <c r="K297" s="3"/>
      <c r="L297" s="3"/>
    </row>
    <row r="298" spans="1:12" ht="19.5" x14ac:dyDescent="0.4">
      <c r="A298" s="8" t="s">
        <v>324</v>
      </c>
      <c r="B298" s="3"/>
      <c r="C298" s="3"/>
      <c r="D298" s="3"/>
      <c r="E298" s="3"/>
      <c r="F298" s="20">
        <v>0</v>
      </c>
      <c r="G298" s="20">
        <v>-871.42</v>
      </c>
      <c r="H298" s="20">
        <v>0</v>
      </c>
      <c r="I298" s="20">
        <v>0</v>
      </c>
      <c r="J298" s="20">
        <v>871.42</v>
      </c>
      <c r="K298" s="3"/>
      <c r="L298" s="3"/>
    </row>
    <row r="299" spans="1:12" ht="19.5" x14ac:dyDescent="0.4">
      <c r="A299" s="8" t="s">
        <v>187</v>
      </c>
      <c r="B299" s="3"/>
      <c r="C299" s="3"/>
      <c r="D299" s="3"/>
      <c r="E299" s="3"/>
      <c r="F299" s="20">
        <v>-1.68</v>
      </c>
      <c r="G299" s="20">
        <v>1.68</v>
      </c>
      <c r="H299" s="20">
        <v>0</v>
      </c>
      <c r="I299" s="20">
        <v>0</v>
      </c>
      <c r="J299" s="20">
        <v>0</v>
      </c>
      <c r="K299" s="3"/>
      <c r="L299" s="3"/>
    </row>
    <row r="300" spans="1:12" ht="19.5" x14ac:dyDescent="0.4">
      <c r="A300" s="8" t="s">
        <v>350</v>
      </c>
      <c r="B300" s="3"/>
      <c r="C300" s="3"/>
      <c r="D300" s="3"/>
      <c r="E300" s="3"/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3"/>
      <c r="L300" s="3"/>
    </row>
    <row r="301" spans="1:12" ht="19.5" x14ac:dyDescent="0.4">
      <c r="A301" s="8" t="s">
        <v>432</v>
      </c>
      <c r="B301" s="3"/>
      <c r="C301" s="3"/>
      <c r="D301" s="3"/>
      <c r="E301" s="3"/>
      <c r="F301" s="20">
        <v>0</v>
      </c>
      <c r="G301" s="20">
        <v>18.420000000000002</v>
      </c>
      <c r="H301" s="20">
        <v>-18.420000000000002</v>
      </c>
      <c r="I301" s="20">
        <v>0</v>
      </c>
      <c r="J301" s="20">
        <v>0</v>
      </c>
      <c r="K301" s="3"/>
      <c r="L301" s="3"/>
    </row>
    <row r="302" spans="1:12" ht="19.5" x14ac:dyDescent="0.4">
      <c r="A302" s="8" t="s">
        <v>433</v>
      </c>
      <c r="B302" s="3"/>
      <c r="C302" s="3"/>
      <c r="D302" s="3"/>
      <c r="E302" s="3"/>
      <c r="F302" s="20">
        <v>-1.7</v>
      </c>
      <c r="G302" s="20">
        <v>1.7</v>
      </c>
      <c r="H302" s="20">
        <v>0</v>
      </c>
      <c r="I302" s="20">
        <v>0</v>
      </c>
      <c r="J302" s="20">
        <v>0</v>
      </c>
      <c r="K302" s="3"/>
      <c r="L302" s="3"/>
    </row>
    <row r="303" spans="1:12" ht="19.5" x14ac:dyDescent="0.4">
      <c r="A303" s="8" t="s">
        <v>434</v>
      </c>
      <c r="B303" s="3"/>
      <c r="C303" s="3"/>
      <c r="D303" s="3"/>
      <c r="E303" s="3"/>
      <c r="F303" s="20">
        <v>0</v>
      </c>
      <c r="G303" s="20">
        <v>0.71</v>
      </c>
      <c r="H303" s="20">
        <v>-0.71</v>
      </c>
      <c r="I303" s="20">
        <v>0</v>
      </c>
      <c r="J303" s="20">
        <v>0</v>
      </c>
      <c r="K303" s="3"/>
      <c r="L303" s="3"/>
    </row>
    <row r="304" spans="1:12" ht="19.5" x14ac:dyDescent="0.4">
      <c r="A304" s="8" t="s">
        <v>367</v>
      </c>
      <c r="B304" s="3"/>
      <c r="C304" s="3"/>
      <c r="D304" s="3"/>
      <c r="E304" s="3"/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3"/>
      <c r="L304" s="3"/>
    </row>
    <row r="305" spans="1:12" ht="19.5" x14ac:dyDescent="0.4">
      <c r="A305" s="8" t="s">
        <v>435</v>
      </c>
      <c r="B305" s="3"/>
      <c r="C305" s="3"/>
      <c r="D305" s="3"/>
      <c r="E305" s="3"/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3"/>
      <c r="L305" s="3"/>
    </row>
    <row r="306" spans="1:12" ht="19.5" x14ac:dyDescent="0.4">
      <c r="A306" s="8" t="s">
        <v>436</v>
      </c>
      <c r="B306" s="3"/>
      <c r="C306" s="3"/>
      <c r="D306" s="3"/>
      <c r="E306" s="3"/>
      <c r="F306" s="20">
        <v>0</v>
      </c>
      <c r="G306" s="20">
        <v>0</v>
      </c>
      <c r="H306" s="20">
        <v>0.1</v>
      </c>
      <c r="I306" s="20">
        <v>-0.1</v>
      </c>
      <c r="J306" s="20">
        <v>0</v>
      </c>
      <c r="K306" s="3"/>
      <c r="L306" s="3"/>
    </row>
    <row r="307" spans="1:12" ht="19.5" x14ac:dyDescent="0.4">
      <c r="A307" s="8" t="s">
        <v>343</v>
      </c>
      <c r="B307" s="3"/>
      <c r="C307" s="3"/>
      <c r="D307" s="3"/>
      <c r="E307" s="3"/>
      <c r="F307" s="20">
        <v>-0.06</v>
      </c>
      <c r="G307" s="20">
        <v>0.06</v>
      </c>
      <c r="H307" s="20">
        <v>0</v>
      </c>
      <c r="I307" s="20">
        <v>0</v>
      </c>
      <c r="J307" s="20">
        <v>0</v>
      </c>
      <c r="K307" s="3"/>
      <c r="L307" s="3"/>
    </row>
    <row r="308" spans="1:12" ht="19.5" x14ac:dyDescent="0.4">
      <c r="A308" s="8" t="s">
        <v>437</v>
      </c>
      <c r="B308" s="3"/>
      <c r="C308" s="3"/>
      <c r="D308" s="3"/>
      <c r="E308" s="3"/>
      <c r="F308" s="20">
        <v>-0.5</v>
      </c>
      <c r="G308" s="20">
        <v>0.5</v>
      </c>
      <c r="H308" s="20">
        <v>0</v>
      </c>
      <c r="I308" s="20">
        <v>0</v>
      </c>
      <c r="J308" s="20">
        <v>0</v>
      </c>
      <c r="K308" s="3"/>
      <c r="L308" s="3"/>
    </row>
    <row r="309" spans="1:12" ht="19.5" x14ac:dyDescent="0.4">
      <c r="A309" s="8" t="s">
        <v>438</v>
      </c>
      <c r="B309" s="3"/>
      <c r="C309" s="3"/>
      <c r="D309" s="3"/>
      <c r="E309" s="3"/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3"/>
      <c r="L309" s="3"/>
    </row>
    <row r="310" spans="1:12" ht="19.5" x14ac:dyDescent="0.4">
      <c r="A310" s="8" t="s">
        <v>195</v>
      </c>
      <c r="B310" s="3"/>
      <c r="C310" s="3"/>
      <c r="D310" s="3"/>
      <c r="E310" s="3"/>
      <c r="F310" s="20">
        <v>-0.11</v>
      </c>
      <c r="G310" s="20">
        <v>0.11</v>
      </c>
      <c r="H310" s="20">
        <v>0</v>
      </c>
      <c r="I310" s="20">
        <v>0</v>
      </c>
      <c r="J310" s="20">
        <v>0</v>
      </c>
      <c r="K310" s="3"/>
      <c r="L310" s="3"/>
    </row>
    <row r="311" spans="1:12" ht="19.5" x14ac:dyDescent="0.4">
      <c r="A311" s="8" t="s">
        <v>342</v>
      </c>
      <c r="B311" s="3"/>
      <c r="C311" s="3"/>
      <c r="D311" s="3"/>
      <c r="E311" s="3"/>
      <c r="F311" s="20">
        <v>0</v>
      </c>
      <c r="G311" s="20">
        <v>55.76</v>
      </c>
      <c r="H311" s="20">
        <v>-55.76</v>
      </c>
      <c r="I311" s="20">
        <v>0</v>
      </c>
      <c r="J311" s="20">
        <v>0</v>
      </c>
      <c r="K311" s="3"/>
      <c r="L311" s="3"/>
    </row>
    <row r="312" spans="1:12" ht="19.5" x14ac:dyDescent="0.4">
      <c r="A312" s="8" t="s">
        <v>141</v>
      </c>
      <c r="B312" s="3"/>
      <c r="C312" s="3"/>
      <c r="D312" s="3"/>
      <c r="E312" s="3"/>
      <c r="F312" s="20">
        <v>-3.1</v>
      </c>
      <c r="G312" s="20">
        <v>3.1</v>
      </c>
      <c r="H312" s="20">
        <v>0</v>
      </c>
      <c r="I312" s="20">
        <v>0</v>
      </c>
      <c r="J312" s="20">
        <v>0</v>
      </c>
      <c r="K312" s="3"/>
      <c r="L312" s="3"/>
    </row>
    <row r="313" spans="1:12" ht="19.5" x14ac:dyDescent="0.4">
      <c r="A313" s="8" t="s">
        <v>439</v>
      </c>
      <c r="B313" s="3"/>
      <c r="C313" s="3"/>
      <c r="D313" s="3"/>
      <c r="E313" s="3"/>
      <c r="F313" s="20">
        <v>0</v>
      </c>
      <c r="G313" s="20">
        <v>0</v>
      </c>
      <c r="H313" s="20">
        <v>0.01</v>
      </c>
      <c r="I313" s="20">
        <v>-0.01</v>
      </c>
      <c r="J313" s="20">
        <v>0</v>
      </c>
      <c r="K313" s="3"/>
      <c r="L313" s="3"/>
    </row>
    <row r="314" spans="1:12" ht="19.5" x14ac:dyDescent="0.4">
      <c r="A314" s="8" t="s">
        <v>338</v>
      </c>
      <c r="B314" s="3"/>
      <c r="C314" s="3"/>
      <c r="D314" s="3"/>
      <c r="E314" s="3"/>
      <c r="F314" s="20">
        <v>0.17</v>
      </c>
      <c r="G314" s="20">
        <v>-0.17</v>
      </c>
      <c r="H314" s="20">
        <v>0</v>
      </c>
      <c r="I314" s="20">
        <v>0</v>
      </c>
      <c r="J314" s="20">
        <v>0</v>
      </c>
      <c r="K314" s="3"/>
      <c r="L314" s="3"/>
    </row>
    <row r="315" spans="1:12" ht="19.5" x14ac:dyDescent="0.4">
      <c r="A315" s="8" t="s">
        <v>440</v>
      </c>
      <c r="B315" s="3"/>
      <c r="C315" s="3"/>
      <c r="D315" s="3"/>
      <c r="E315" s="3"/>
      <c r="F315" s="20">
        <v>0</v>
      </c>
      <c r="G315" s="20">
        <v>-962.75</v>
      </c>
      <c r="H315" s="20">
        <v>0</v>
      </c>
      <c r="I315" s="20">
        <v>962.75</v>
      </c>
      <c r="J315" s="20">
        <v>0</v>
      </c>
      <c r="K315" s="3"/>
      <c r="L315" s="3"/>
    </row>
    <row r="316" spans="1:12" ht="19.5" x14ac:dyDescent="0.4">
      <c r="A316" s="8" t="s">
        <v>441</v>
      </c>
      <c r="B316" s="3"/>
      <c r="C316" s="3"/>
      <c r="D316" s="3"/>
      <c r="E316" s="3"/>
      <c r="F316" s="20">
        <v>0</v>
      </c>
      <c r="G316" s="20">
        <v>-18</v>
      </c>
      <c r="H316" s="20">
        <v>18</v>
      </c>
      <c r="I316" s="20">
        <v>0</v>
      </c>
      <c r="J316" s="20">
        <v>0</v>
      </c>
      <c r="K316" s="3"/>
      <c r="L316" s="3"/>
    </row>
    <row r="317" spans="1:12" ht="19.5" x14ac:dyDescent="0.4">
      <c r="A317" s="8" t="s">
        <v>442</v>
      </c>
      <c r="B317" s="3"/>
      <c r="C317" s="3"/>
      <c r="D317" s="3"/>
      <c r="E317" s="3"/>
      <c r="F317" s="20">
        <v>0</v>
      </c>
      <c r="G317" s="20">
        <v>300</v>
      </c>
      <c r="H317" s="20">
        <v>-300</v>
      </c>
      <c r="I317" s="20">
        <v>0</v>
      </c>
      <c r="J317" s="20">
        <v>0</v>
      </c>
      <c r="K317" s="3"/>
      <c r="L317" s="3"/>
    </row>
    <row r="318" spans="1:12" ht="19.5" x14ac:dyDescent="0.4">
      <c r="A318" s="8" t="s">
        <v>443</v>
      </c>
      <c r="B318" s="3"/>
      <c r="C318" s="3"/>
      <c r="D318" s="3"/>
      <c r="E318" s="3"/>
      <c r="F318" s="20">
        <v>0</v>
      </c>
      <c r="G318" s="20">
        <v>180</v>
      </c>
      <c r="H318" s="20">
        <v>-180</v>
      </c>
      <c r="I318" s="20">
        <v>0</v>
      </c>
      <c r="J318" s="20">
        <v>0</v>
      </c>
      <c r="K318" s="3"/>
      <c r="L318" s="3"/>
    </row>
    <row r="319" spans="1:12" ht="19.5" x14ac:dyDescent="0.4">
      <c r="A319" s="8" t="s">
        <v>444</v>
      </c>
      <c r="B319" s="3"/>
      <c r="C319" s="3"/>
      <c r="D319" s="3"/>
      <c r="E319" s="3"/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3"/>
      <c r="L319" s="3"/>
    </row>
    <row r="320" spans="1:12" ht="19.5" x14ac:dyDescent="0.4">
      <c r="A320" s="8" t="s">
        <v>445</v>
      </c>
      <c r="B320" s="3"/>
      <c r="C320" s="3"/>
      <c r="D320" s="3"/>
      <c r="E320" s="3"/>
      <c r="F320" s="20">
        <v>-0.33</v>
      </c>
      <c r="G320" s="20">
        <v>0.33</v>
      </c>
      <c r="H320" s="20">
        <v>0</v>
      </c>
      <c r="I320" s="20">
        <v>0</v>
      </c>
      <c r="J320" s="20">
        <v>0</v>
      </c>
      <c r="K320" s="3"/>
      <c r="L320" s="3"/>
    </row>
    <row r="321" spans="1:12" ht="19.5" x14ac:dyDescent="0.4">
      <c r="A321" s="8" t="s">
        <v>446</v>
      </c>
      <c r="B321" s="3"/>
      <c r="C321" s="3"/>
      <c r="D321" s="3"/>
      <c r="E321" s="3"/>
      <c r="F321" s="20">
        <v>-3.75</v>
      </c>
      <c r="G321" s="20">
        <v>3.75</v>
      </c>
      <c r="H321" s="20">
        <v>0</v>
      </c>
      <c r="I321" s="20">
        <v>0</v>
      </c>
      <c r="J321" s="20">
        <v>0</v>
      </c>
      <c r="K321" s="3"/>
      <c r="L321" s="3"/>
    </row>
    <row r="322" spans="1:12" ht="19.5" x14ac:dyDescent="0.4">
      <c r="A322" s="8" t="s">
        <v>447</v>
      </c>
      <c r="B322" s="3"/>
      <c r="C322" s="3"/>
      <c r="D322" s="3"/>
      <c r="E322" s="3"/>
      <c r="F322" s="20">
        <v>0.1</v>
      </c>
      <c r="G322" s="20">
        <v>-0.1</v>
      </c>
      <c r="H322" s="20">
        <v>0</v>
      </c>
      <c r="I322" s="20">
        <v>0</v>
      </c>
      <c r="J322" s="20">
        <v>0</v>
      </c>
      <c r="K322" s="3"/>
      <c r="L322" s="3"/>
    </row>
    <row r="323" spans="1:12" ht="19.5" x14ac:dyDescent="0.4">
      <c r="A323" s="8" t="s">
        <v>337</v>
      </c>
      <c r="B323" s="3"/>
      <c r="C323" s="3"/>
      <c r="D323" s="3"/>
      <c r="E323" s="3"/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3"/>
      <c r="L323" s="3"/>
    </row>
    <row r="324" spans="1:12" ht="19.5" x14ac:dyDescent="0.4">
      <c r="A324" s="8" t="s">
        <v>448</v>
      </c>
      <c r="B324" s="3"/>
      <c r="C324" s="3"/>
      <c r="D324" s="3"/>
      <c r="E324" s="3"/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3"/>
      <c r="L324" s="3"/>
    </row>
    <row r="325" spans="1:12" ht="19.5" x14ac:dyDescent="0.4">
      <c r="A325" s="8" t="s">
        <v>449</v>
      </c>
      <c r="B325" s="3"/>
      <c r="C325" s="3"/>
      <c r="D325" s="3"/>
      <c r="E325" s="3"/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3"/>
      <c r="L325" s="3"/>
    </row>
    <row r="326" spans="1:12" ht="19.5" x14ac:dyDescent="0.4">
      <c r="A326" s="8" t="s">
        <v>450</v>
      </c>
      <c r="B326" s="3"/>
      <c r="C326" s="3"/>
      <c r="D326" s="3"/>
      <c r="E326" s="3"/>
      <c r="F326" s="20">
        <v>-1</v>
      </c>
      <c r="G326" s="20">
        <v>225</v>
      </c>
      <c r="H326" s="20">
        <v>-224</v>
      </c>
      <c r="I326" s="20">
        <v>0</v>
      </c>
      <c r="J326" s="20">
        <v>0</v>
      </c>
      <c r="K326" s="3"/>
      <c r="L326" s="3"/>
    </row>
    <row r="327" spans="1:12" ht="19.5" x14ac:dyDescent="0.4">
      <c r="A327" s="8" t="s">
        <v>451</v>
      </c>
      <c r="B327" s="3"/>
      <c r="C327" s="3"/>
      <c r="D327" s="3"/>
      <c r="E327" s="3"/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3"/>
      <c r="L327" s="3"/>
    </row>
    <row r="328" spans="1:12" ht="19.5" x14ac:dyDescent="0.4">
      <c r="A328" s="8" t="s">
        <v>452</v>
      </c>
      <c r="B328" s="3"/>
      <c r="C328" s="3"/>
      <c r="D328" s="3"/>
      <c r="E328" s="3"/>
      <c r="F328" s="20">
        <v>0</v>
      </c>
      <c r="G328" s="20">
        <v>1</v>
      </c>
      <c r="H328" s="20">
        <v>-1</v>
      </c>
      <c r="I328" s="20">
        <v>0</v>
      </c>
      <c r="J328" s="20">
        <v>0</v>
      </c>
      <c r="K328" s="3"/>
      <c r="L328" s="3"/>
    </row>
    <row r="329" spans="1:12" ht="19.5" x14ac:dyDescent="0.4">
      <c r="A329" s="8" t="s">
        <v>453</v>
      </c>
      <c r="B329" s="3"/>
      <c r="C329" s="3"/>
      <c r="D329" s="3"/>
      <c r="E329" s="3"/>
      <c r="F329" s="20">
        <v>-0.9</v>
      </c>
      <c r="G329" s="20">
        <v>0.9</v>
      </c>
      <c r="H329" s="20">
        <v>0</v>
      </c>
      <c r="I329" s="20">
        <v>0</v>
      </c>
      <c r="J329" s="20">
        <v>0</v>
      </c>
      <c r="K329" s="3"/>
      <c r="L329" s="3"/>
    </row>
    <row r="330" spans="1:12" ht="19.5" x14ac:dyDescent="0.4">
      <c r="A330" s="8" t="s">
        <v>454</v>
      </c>
      <c r="B330" s="3"/>
      <c r="C330" s="3"/>
      <c r="D330" s="3"/>
      <c r="E330" s="3"/>
      <c r="F330" s="20">
        <v>-6</v>
      </c>
      <c r="G330" s="20">
        <v>5</v>
      </c>
      <c r="H330" s="20">
        <v>1</v>
      </c>
      <c r="I330" s="20">
        <v>0</v>
      </c>
      <c r="J330" s="20">
        <v>0</v>
      </c>
      <c r="K330" s="3"/>
      <c r="L330" s="3"/>
    </row>
    <row r="331" spans="1:12" ht="19.5" x14ac:dyDescent="0.4">
      <c r="A331" s="8" t="s">
        <v>455</v>
      </c>
      <c r="B331" s="3"/>
      <c r="C331" s="3"/>
      <c r="D331" s="3"/>
      <c r="E331" s="3"/>
      <c r="F331" s="20">
        <v>0</v>
      </c>
      <c r="G331" s="20">
        <v>-100</v>
      </c>
      <c r="H331" s="20">
        <v>0</v>
      </c>
      <c r="I331" s="20">
        <v>0</v>
      </c>
      <c r="J331" s="20">
        <v>100</v>
      </c>
      <c r="K331" s="3"/>
      <c r="L331" s="3"/>
    </row>
    <row r="332" spans="1:12" ht="19.5" x14ac:dyDescent="0.4">
      <c r="A332" s="8" t="s">
        <v>456</v>
      </c>
      <c r="B332" s="3"/>
      <c r="C332" s="3"/>
      <c r="D332" s="3"/>
      <c r="E332" s="3"/>
      <c r="F332" s="20">
        <v>0</v>
      </c>
      <c r="G332" s="20">
        <v>0.5</v>
      </c>
      <c r="H332" s="20">
        <v>-0.5</v>
      </c>
      <c r="I332" s="20">
        <v>0</v>
      </c>
      <c r="J332" s="20">
        <v>0</v>
      </c>
      <c r="K332" s="3"/>
      <c r="L332" s="3"/>
    </row>
    <row r="333" spans="1:12" ht="19.5" x14ac:dyDescent="0.4">
      <c r="A333" s="8" t="s">
        <v>457</v>
      </c>
      <c r="B333" s="3"/>
      <c r="C333" s="3"/>
      <c r="D333" s="3"/>
      <c r="E333" s="3"/>
      <c r="F333" s="20">
        <v>0</v>
      </c>
      <c r="G333" s="20">
        <v>2.91</v>
      </c>
      <c r="H333" s="20">
        <v>-2.91</v>
      </c>
      <c r="I333" s="20">
        <v>0</v>
      </c>
      <c r="J333" s="20">
        <v>0</v>
      </c>
      <c r="K333" s="3"/>
      <c r="L333" s="3"/>
    </row>
    <row r="334" spans="1:12" ht="19.5" x14ac:dyDescent="0.4">
      <c r="A334" s="8" t="s">
        <v>458</v>
      </c>
      <c r="B334" s="3"/>
      <c r="C334" s="3"/>
      <c r="D334" s="3"/>
      <c r="E334" s="3"/>
      <c r="F334" s="20">
        <v>0</v>
      </c>
      <c r="G334" s="20">
        <v>0</v>
      </c>
      <c r="H334" s="20">
        <v>0.8</v>
      </c>
      <c r="I334" s="20">
        <v>-0.8</v>
      </c>
      <c r="J334" s="20">
        <v>0</v>
      </c>
      <c r="K334" s="3"/>
      <c r="L334" s="3"/>
    </row>
    <row r="335" spans="1:12" ht="19.5" x14ac:dyDescent="0.4">
      <c r="A335" s="8" t="s">
        <v>459</v>
      </c>
      <c r="B335" s="3"/>
      <c r="C335" s="3"/>
      <c r="D335" s="3"/>
      <c r="E335" s="3"/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3"/>
      <c r="L335" s="3"/>
    </row>
    <row r="336" spans="1:12" ht="19.5" x14ac:dyDescent="0.4">
      <c r="A336" s="8" t="s">
        <v>460</v>
      </c>
      <c r="B336" s="3"/>
      <c r="C336" s="3"/>
      <c r="D336" s="3"/>
      <c r="E336" s="3"/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3"/>
      <c r="L336" s="3"/>
    </row>
    <row r="337" spans="1:12" ht="19.5" x14ac:dyDescent="0.4">
      <c r="A337" s="8" t="s">
        <v>461</v>
      </c>
      <c r="B337" s="3"/>
      <c r="C337" s="3"/>
      <c r="D337" s="3"/>
      <c r="E337" s="3"/>
      <c r="F337" s="20">
        <v>-1.5</v>
      </c>
      <c r="G337" s="20">
        <v>0</v>
      </c>
      <c r="H337" s="20">
        <v>0</v>
      </c>
      <c r="I337" s="20">
        <v>0</v>
      </c>
      <c r="J337" s="20">
        <v>1.5</v>
      </c>
      <c r="K337" s="3"/>
      <c r="L337" s="3"/>
    </row>
    <row r="338" spans="1:12" ht="19.5" x14ac:dyDescent="0.4">
      <c r="A338" s="8" t="s">
        <v>232</v>
      </c>
      <c r="B338" s="3"/>
      <c r="C338" s="3"/>
      <c r="D338" s="3"/>
      <c r="E338" s="3"/>
      <c r="F338" s="20">
        <v>0.12</v>
      </c>
      <c r="G338" s="20">
        <v>-0.12</v>
      </c>
      <c r="H338" s="20">
        <v>0</v>
      </c>
      <c r="I338" s="20">
        <v>0</v>
      </c>
      <c r="J338" s="20">
        <v>0</v>
      </c>
      <c r="K338" s="3"/>
      <c r="L338" s="3"/>
    </row>
    <row r="339" spans="1:12" ht="19.5" x14ac:dyDescent="0.4">
      <c r="A339" s="8" t="s">
        <v>462</v>
      </c>
      <c r="B339" s="3"/>
      <c r="C339" s="3"/>
      <c r="D339" s="3"/>
      <c r="E339" s="3"/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3"/>
      <c r="L339" s="3"/>
    </row>
    <row r="340" spans="1:12" ht="19.5" x14ac:dyDescent="0.4">
      <c r="A340" s="8" t="s">
        <v>463</v>
      </c>
      <c r="B340" s="3"/>
      <c r="C340" s="3"/>
      <c r="D340" s="3"/>
      <c r="E340" s="3"/>
      <c r="F340" s="20">
        <v>0</v>
      </c>
      <c r="G340" s="20">
        <v>1</v>
      </c>
      <c r="H340" s="20">
        <v>-1</v>
      </c>
      <c r="I340" s="20">
        <v>0</v>
      </c>
      <c r="J340" s="20">
        <v>0</v>
      </c>
      <c r="K340" s="3"/>
      <c r="L340" s="3"/>
    </row>
    <row r="341" spans="1:12" ht="19.5" x14ac:dyDescent="0.4">
      <c r="A341" s="8" t="s">
        <v>464</v>
      </c>
      <c r="B341" s="3"/>
      <c r="C341" s="3"/>
      <c r="D341" s="3"/>
      <c r="E341" s="3"/>
      <c r="F341" s="20">
        <v>0</v>
      </c>
      <c r="G341" s="20">
        <v>0</v>
      </c>
      <c r="H341" s="20">
        <v>0.75</v>
      </c>
      <c r="I341" s="20">
        <v>0</v>
      </c>
      <c r="J341" s="20">
        <v>-0.75</v>
      </c>
      <c r="K341" s="3"/>
      <c r="L341" s="3"/>
    </row>
    <row r="342" spans="1:12" ht="19.5" x14ac:dyDescent="0.4">
      <c r="A342" s="8" t="s">
        <v>465</v>
      </c>
      <c r="B342" s="3"/>
      <c r="C342" s="3"/>
      <c r="D342" s="3"/>
      <c r="E342" s="3"/>
      <c r="F342" s="20">
        <v>0</v>
      </c>
      <c r="G342" s="20">
        <v>0</v>
      </c>
      <c r="H342" s="20">
        <v>-0.04</v>
      </c>
      <c r="I342" s="20">
        <v>0</v>
      </c>
      <c r="J342" s="20">
        <v>0</v>
      </c>
      <c r="K342" s="3"/>
      <c r="L342" s="3"/>
    </row>
    <row r="343" spans="1:12" ht="19.5" x14ac:dyDescent="0.4">
      <c r="A343" s="8" t="s">
        <v>466</v>
      </c>
      <c r="B343" s="3"/>
      <c r="C343" s="3"/>
      <c r="D343" s="3"/>
      <c r="E343" s="3"/>
      <c r="F343" s="20">
        <v>0</v>
      </c>
      <c r="G343" s="20">
        <v>0</v>
      </c>
      <c r="H343" s="20">
        <v>-0.17</v>
      </c>
      <c r="I343" s="20">
        <v>0</v>
      </c>
      <c r="J343" s="20">
        <v>0</v>
      </c>
      <c r="K343" s="3"/>
      <c r="L343" s="3"/>
    </row>
    <row r="344" spans="1:12" ht="19.5" x14ac:dyDescent="0.4">
      <c r="A344" s="8" t="s">
        <v>467</v>
      </c>
      <c r="B344" s="3"/>
      <c r="C344" s="3"/>
      <c r="D344" s="3"/>
      <c r="E344" s="3"/>
      <c r="F344" s="20">
        <v>0</v>
      </c>
      <c r="G344" s="20">
        <v>0</v>
      </c>
      <c r="H344" s="20">
        <v>-0.21</v>
      </c>
      <c r="I344" s="20">
        <v>0</v>
      </c>
      <c r="J344" s="20">
        <v>0</v>
      </c>
      <c r="K344" s="3"/>
      <c r="L344" s="3"/>
    </row>
    <row r="345" spans="1:12" ht="19.5" x14ac:dyDescent="0.4">
      <c r="A345" s="8" t="s">
        <v>329</v>
      </c>
      <c r="B345" s="3"/>
      <c r="C345" s="3"/>
      <c r="D345" s="3"/>
      <c r="E345" s="3"/>
      <c r="F345" s="20">
        <v>0</v>
      </c>
      <c r="G345" s="20">
        <v>-0.25</v>
      </c>
      <c r="H345" s="20">
        <v>0</v>
      </c>
      <c r="I345" s="20">
        <v>0</v>
      </c>
      <c r="J345" s="20">
        <v>0</v>
      </c>
      <c r="K345" s="3"/>
      <c r="L345" s="3"/>
    </row>
    <row r="346" spans="1:12" ht="19.5" x14ac:dyDescent="0.4">
      <c r="A346" s="8" t="s">
        <v>468</v>
      </c>
      <c r="B346" s="3"/>
      <c r="C346" s="3"/>
      <c r="D346" s="3"/>
      <c r="E346" s="3"/>
      <c r="F346" s="20">
        <v>0</v>
      </c>
      <c r="G346" s="20">
        <v>-0.25</v>
      </c>
      <c r="H346" s="20">
        <v>0</v>
      </c>
      <c r="I346" s="20">
        <v>0</v>
      </c>
      <c r="J346" s="20">
        <v>0</v>
      </c>
      <c r="K346" s="3"/>
      <c r="L346" s="3"/>
    </row>
    <row r="347" spans="1:12" ht="19.5" x14ac:dyDescent="0.4">
      <c r="A347" s="8" t="s">
        <v>469</v>
      </c>
      <c r="B347" s="3"/>
      <c r="C347" s="3"/>
      <c r="D347" s="3"/>
      <c r="E347" s="3"/>
      <c r="F347" s="20">
        <v>-3450</v>
      </c>
      <c r="G347" s="20">
        <v>3449.75</v>
      </c>
      <c r="H347" s="20">
        <v>0</v>
      </c>
      <c r="I347" s="20">
        <v>0</v>
      </c>
      <c r="J347" s="20">
        <v>0</v>
      </c>
      <c r="K347" s="3"/>
      <c r="L347" s="3"/>
    </row>
    <row r="348" spans="1:12" ht="19.5" x14ac:dyDescent="0.4">
      <c r="A348" s="8" t="s">
        <v>288</v>
      </c>
      <c r="B348" s="3"/>
      <c r="C348" s="3"/>
      <c r="D348" s="3"/>
      <c r="E348" s="3"/>
      <c r="F348" s="20">
        <v>0</v>
      </c>
      <c r="G348" s="20">
        <v>-0.27</v>
      </c>
      <c r="H348" s="20">
        <v>0</v>
      </c>
      <c r="I348" s="20">
        <v>0</v>
      </c>
      <c r="J348" s="20">
        <v>0</v>
      </c>
      <c r="K348" s="3"/>
      <c r="L348" s="3"/>
    </row>
    <row r="349" spans="1:12" ht="19.5" x14ac:dyDescent="0.4">
      <c r="A349" s="8" t="s">
        <v>230</v>
      </c>
      <c r="B349" s="3"/>
      <c r="C349" s="3"/>
      <c r="D349" s="3"/>
      <c r="E349" s="3"/>
      <c r="F349" s="20">
        <v>0</v>
      </c>
      <c r="G349" s="20">
        <v>-0.4</v>
      </c>
      <c r="H349" s="20">
        <v>0</v>
      </c>
      <c r="I349" s="20">
        <v>0</v>
      </c>
      <c r="J349" s="20">
        <v>0</v>
      </c>
      <c r="K349" s="3"/>
      <c r="L349" s="3"/>
    </row>
    <row r="350" spans="1:12" ht="19.5" x14ac:dyDescent="0.4">
      <c r="A350" s="8" t="s">
        <v>357</v>
      </c>
      <c r="B350" s="3"/>
      <c r="C350" s="3"/>
      <c r="D350" s="3"/>
      <c r="E350" s="3"/>
      <c r="F350" s="20">
        <v>32804.6</v>
      </c>
      <c r="G350" s="20">
        <v>-32805</v>
      </c>
      <c r="H350" s="20">
        <v>0</v>
      </c>
      <c r="I350" s="20">
        <v>0</v>
      </c>
      <c r="J350" s="20">
        <v>0</v>
      </c>
      <c r="K350" s="3"/>
      <c r="L350" s="3"/>
    </row>
    <row r="351" spans="1:12" ht="19.5" x14ac:dyDescent="0.4">
      <c r="A351" s="8" t="s">
        <v>470</v>
      </c>
      <c r="B351" s="3"/>
      <c r="C351" s="3"/>
      <c r="D351" s="3"/>
      <c r="E351" s="3"/>
      <c r="F351" s="20">
        <v>0</v>
      </c>
      <c r="G351" s="20">
        <v>-0.46</v>
      </c>
      <c r="H351" s="20">
        <v>0</v>
      </c>
      <c r="I351" s="20">
        <v>0</v>
      </c>
      <c r="J351" s="20">
        <v>0</v>
      </c>
      <c r="K351" s="3"/>
      <c r="L351" s="3"/>
    </row>
    <row r="352" spans="1:12" ht="19.5" x14ac:dyDescent="0.4">
      <c r="A352" s="8" t="s">
        <v>471</v>
      </c>
      <c r="B352" s="3"/>
      <c r="C352" s="3"/>
      <c r="D352" s="3"/>
      <c r="E352" s="3"/>
      <c r="F352" s="20">
        <v>0</v>
      </c>
      <c r="G352" s="20">
        <v>0</v>
      </c>
      <c r="H352" s="20">
        <v>-0.5</v>
      </c>
      <c r="I352" s="20">
        <v>0</v>
      </c>
      <c r="J352" s="20">
        <v>0</v>
      </c>
      <c r="K352" s="3"/>
      <c r="L352" s="3"/>
    </row>
    <row r="353" spans="1:12" ht="19.5" x14ac:dyDescent="0.4">
      <c r="A353" s="8" t="s">
        <v>472</v>
      </c>
      <c r="B353" s="3"/>
      <c r="C353" s="3"/>
      <c r="D353" s="3"/>
      <c r="E353" s="3"/>
      <c r="F353" s="20">
        <v>0</v>
      </c>
      <c r="G353" s="20">
        <v>0</v>
      </c>
      <c r="H353" s="20">
        <v>-0.5</v>
      </c>
      <c r="I353" s="20">
        <v>0</v>
      </c>
      <c r="J353" s="20">
        <v>0</v>
      </c>
      <c r="K353" s="3"/>
      <c r="L353" s="3"/>
    </row>
    <row r="354" spans="1:12" ht="19.5" x14ac:dyDescent="0.4">
      <c r="A354" s="8" t="s">
        <v>473</v>
      </c>
      <c r="B354" s="3"/>
      <c r="C354" s="3"/>
      <c r="D354" s="3"/>
      <c r="E354" s="3"/>
      <c r="F354" s="20">
        <v>0</v>
      </c>
      <c r="G354" s="20">
        <v>-0.5</v>
      </c>
      <c r="H354" s="20">
        <v>0</v>
      </c>
      <c r="I354" s="20">
        <v>0</v>
      </c>
      <c r="J354" s="20">
        <v>0</v>
      </c>
      <c r="K354" s="3"/>
      <c r="L354" s="3"/>
    </row>
    <row r="355" spans="1:12" ht="19.5" x14ac:dyDescent="0.4">
      <c r="A355" s="8" t="s">
        <v>474</v>
      </c>
      <c r="B355" s="3"/>
      <c r="C355" s="3"/>
      <c r="D355" s="3"/>
      <c r="E355" s="3"/>
      <c r="F355" s="20">
        <v>0</v>
      </c>
      <c r="G355" s="20">
        <v>-0.5</v>
      </c>
      <c r="H355" s="20">
        <v>0</v>
      </c>
      <c r="I355" s="20">
        <v>0</v>
      </c>
      <c r="J355" s="20">
        <v>0</v>
      </c>
      <c r="K355" s="3"/>
      <c r="L355" s="3"/>
    </row>
    <row r="356" spans="1:12" ht="19.5" x14ac:dyDescent="0.4">
      <c r="A356" s="8" t="s">
        <v>334</v>
      </c>
      <c r="B356" s="3"/>
      <c r="C356" s="3"/>
      <c r="D356" s="3"/>
      <c r="E356" s="3"/>
      <c r="F356" s="20">
        <v>0</v>
      </c>
      <c r="G356" s="20">
        <v>-0.64</v>
      </c>
      <c r="H356" s="20">
        <v>0.04</v>
      </c>
      <c r="I356" s="20">
        <v>0</v>
      </c>
      <c r="J356" s="20">
        <v>0</v>
      </c>
      <c r="K356" s="3"/>
      <c r="L356" s="3"/>
    </row>
    <row r="357" spans="1:12" ht="19.5" x14ac:dyDescent="0.4">
      <c r="A357" s="8" t="s">
        <v>260</v>
      </c>
      <c r="B357" s="3"/>
      <c r="C357" s="3"/>
      <c r="D357" s="3"/>
      <c r="E357" s="3"/>
      <c r="F357" s="20">
        <v>-0.9</v>
      </c>
      <c r="G357" s="20">
        <v>0.3</v>
      </c>
      <c r="H357" s="20">
        <v>0</v>
      </c>
      <c r="I357" s="20">
        <v>0</v>
      </c>
      <c r="J357" s="20">
        <v>0</v>
      </c>
      <c r="K357" s="3"/>
      <c r="L357" s="3"/>
    </row>
    <row r="358" spans="1:12" ht="19.5" x14ac:dyDescent="0.4">
      <c r="A358" s="8" t="s">
        <v>345</v>
      </c>
      <c r="B358" s="3"/>
      <c r="C358" s="3"/>
      <c r="D358" s="3"/>
      <c r="E358" s="3"/>
      <c r="F358" s="20">
        <v>0</v>
      </c>
      <c r="G358" s="20">
        <v>0</v>
      </c>
      <c r="H358" s="20">
        <v>-0.62</v>
      </c>
      <c r="I358" s="20">
        <v>0</v>
      </c>
      <c r="J358" s="20">
        <v>0</v>
      </c>
      <c r="K358" s="3"/>
      <c r="L358" s="3"/>
    </row>
    <row r="359" spans="1:12" ht="19.5" x14ac:dyDescent="0.4">
      <c r="A359" s="8" t="s">
        <v>475</v>
      </c>
      <c r="B359" s="3"/>
      <c r="C359" s="3"/>
      <c r="D359" s="3"/>
      <c r="E359" s="3"/>
      <c r="F359" s="20">
        <v>0</v>
      </c>
      <c r="G359" s="20">
        <v>-0.25</v>
      </c>
      <c r="H359" s="20">
        <v>-0.41</v>
      </c>
      <c r="I359" s="20">
        <v>0</v>
      </c>
      <c r="J359" s="20">
        <v>0</v>
      </c>
      <c r="K359" s="3"/>
      <c r="L359" s="3"/>
    </row>
    <row r="360" spans="1:12" ht="19.5" x14ac:dyDescent="0.4">
      <c r="A360" s="8" t="s">
        <v>476</v>
      </c>
      <c r="B360" s="3"/>
      <c r="C360" s="3"/>
      <c r="D360" s="3"/>
      <c r="E360" s="3"/>
      <c r="F360" s="20">
        <v>0</v>
      </c>
      <c r="G360" s="20">
        <v>-0.75</v>
      </c>
      <c r="H360" s="20">
        <v>0</v>
      </c>
      <c r="I360" s="20">
        <v>0</v>
      </c>
      <c r="J360" s="20">
        <v>0</v>
      </c>
      <c r="K360" s="3"/>
      <c r="L360" s="3"/>
    </row>
    <row r="361" spans="1:12" ht="19.5" x14ac:dyDescent="0.4">
      <c r="A361" s="8" t="s">
        <v>153</v>
      </c>
      <c r="B361" s="3"/>
      <c r="C361" s="3"/>
      <c r="D361" s="3"/>
      <c r="E361" s="3"/>
      <c r="F361" s="20">
        <v>0</v>
      </c>
      <c r="G361" s="20">
        <v>-0.86</v>
      </c>
      <c r="H361" s="20">
        <v>0</v>
      </c>
      <c r="I361" s="20">
        <v>0</v>
      </c>
      <c r="J361" s="20">
        <v>0</v>
      </c>
      <c r="K361" s="3"/>
      <c r="L361" s="3"/>
    </row>
    <row r="362" spans="1:12" ht="19.5" x14ac:dyDescent="0.4">
      <c r="A362" s="8" t="s">
        <v>477</v>
      </c>
      <c r="B362" s="3"/>
      <c r="C362" s="3"/>
      <c r="D362" s="3"/>
      <c r="E362" s="3"/>
      <c r="F362" s="20">
        <v>0</v>
      </c>
      <c r="G362" s="20">
        <v>-0.89</v>
      </c>
      <c r="H362" s="20">
        <v>0</v>
      </c>
      <c r="I362" s="20">
        <v>0</v>
      </c>
      <c r="J362" s="20">
        <v>0</v>
      </c>
      <c r="K362" s="3"/>
      <c r="L362" s="3"/>
    </row>
    <row r="363" spans="1:12" ht="19.5" x14ac:dyDescent="0.4">
      <c r="A363" s="8" t="s">
        <v>478</v>
      </c>
      <c r="B363" s="3"/>
      <c r="C363" s="3"/>
      <c r="D363" s="3"/>
      <c r="E363" s="3"/>
      <c r="F363" s="20">
        <v>0</v>
      </c>
      <c r="G363" s="20">
        <v>-0.96</v>
      </c>
      <c r="H363" s="20">
        <v>0</v>
      </c>
      <c r="I363" s="20">
        <v>0</v>
      </c>
      <c r="J363" s="20">
        <v>0</v>
      </c>
      <c r="K363" s="3"/>
      <c r="L363" s="3"/>
    </row>
    <row r="364" spans="1:12" ht="19.5" x14ac:dyDescent="0.4">
      <c r="A364" s="8" t="s">
        <v>479</v>
      </c>
      <c r="B364" s="3"/>
      <c r="C364" s="3"/>
      <c r="D364" s="3"/>
      <c r="E364" s="3"/>
      <c r="F364" s="20">
        <v>0</v>
      </c>
      <c r="G364" s="20">
        <v>-0.96</v>
      </c>
      <c r="H364" s="20">
        <v>0</v>
      </c>
      <c r="I364" s="20">
        <v>0</v>
      </c>
      <c r="J364" s="20">
        <v>0</v>
      </c>
      <c r="K364" s="3"/>
      <c r="L364" s="3"/>
    </row>
    <row r="365" spans="1:12" ht="19.5" x14ac:dyDescent="0.4">
      <c r="A365" s="8" t="s">
        <v>228</v>
      </c>
      <c r="B365" s="3"/>
      <c r="C365" s="3"/>
      <c r="D365" s="3"/>
      <c r="E365" s="3"/>
      <c r="F365" s="20">
        <v>0</v>
      </c>
      <c r="G365" s="20">
        <v>-0.97</v>
      </c>
      <c r="H365" s="20">
        <v>0</v>
      </c>
      <c r="I365" s="20">
        <v>0</v>
      </c>
      <c r="J365" s="20">
        <v>0</v>
      </c>
      <c r="K365" s="3"/>
      <c r="L365" s="3"/>
    </row>
    <row r="366" spans="1:12" ht="19.5" x14ac:dyDescent="0.4">
      <c r="A366" s="8" t="s">
        <v>480</v>
      </c>
      <c r="B366" s="3"/>
      <c r="C366" s="3"/>
      <c r="D366" s="3"/>
      <c r="E366" s="3"/>
      <c r="F366" s="20">
        <v>0</v>
      </c>
      <c r="G366" s="20">
        <v>-1</v>
      </c>
      <c r="H366" s="20">
        <v>0</v>
      </c>
      <c r="I366" s="20">
        <v>0</v>
      </c>
      <c r="J366" s="20">
        <v>0</v>
      </c>
      <c r="K366" s="3"/>
      <c r="L366" s="3"/>
    </row>
    <row r="367" spans="1:12" ht="19.5" x14ac:dyDescent="0.4">
      <c r="A367" s="8" t="s">
        <v>362</v>
      </c>
      <c r="B367" s="3"/>
      <c r="C367" s="3"/>
      <c r="D367" s="3"/>
      <c r="E367" s="3"/>
      <c r="F367" s="20">
        <v>0</v>
      </c>
      <c r="G367" s="20">
        <v>-4</v>
      </c>
      <c r="H367" s="20">
        <v>3</v>
      </c>
      <c r="I367" s="20">
        <v>0</v>
      </c>
      <c r="J367" s="20">
        <v>0</v>
      </c>
      <c r="K367" s="3"/>
      <c r="L367" s="3"/>
    </row>
    <row r="368" spans="1:12" ht="19.5" x14ac:dyDescent="0.4">
      <c r="A368" s="8" t="s">
        <v>481</v>
      </c>
      <c r="B368" s="3"/>
      <c r="C368" s="3"/>
      <c r="D368" s="3"/>
      <c r="E368" s="3"/>
      <c r="F368" s="20">
        <v>0</v>
      </c>
      <c r="G368" s="20">
        <v>-1.2</v>
      </c>
      <c r="H368" s="20">
        <v>0</v>
      </c>
      <c r="I368" s="20">
        <v>0</v>
      </c>
      <c r="J368" s="20">
        <v>0</v>
      </c>
      <c r="K368" s="3"/>
      <c r="L368" s="3"/>
    </row>
    <row r="369" spans="1:12" ht="19.5" x14ac:dyDescent="0.4">
      <c r="A369" s="8" t="s">
        <v>482</v>
      </c>
      <c r="B369" s="3"/>
      <c r="C369" s="3"/>
      <c r="D369" s="3"/>
      <c r="E369" s="3"/>
      <c r="F369" s="20">
        <v>0</v>
      </c>
      <c r="G369" s="20">
        <v>-1.25</v>
      </c>
      <c r="H369" s="20">
        <v>0</v>
      </c>
      <c r="I369" s="20">
        <v>0</v>
      </c>
      <c r="J369" s="20">
        <v>0</v>
      </c>
      <c r="K369" s="3"/>
      <c r="L369" s="3"/>
    </row>
    <row r="370" spans="1:12" ht="19.5" x14ac:dyDescent="0.4">
      <c r="A370" s="8" t="s">
        <v>185</v>
      </c>
      <c r="B370" s="3"/>
      <c r="C370" s="3"/>
      <c r="D370" s="3"/>
      <c r="E370" s="3"/>
      <c r="F370" s="20">
        <v>0</v>
      </c>
      <c r="G370" s="20">
        <v>-1.48</v>
      </c>
      <c r="H370" s="20">
        <v>0</v>
      </c>
      <c r="I370" s="20">
        <v>0</v>
      </c>
      <c r="J370" s="20">
        <v>0</v>
      </c>
      <c r="K370" s="3"/>
      <c r="L370" s="3"/>
    </row>
    <row r="371" spans="1:12" ht="19.5" x14ac:dyDescent="0.4">
      <c r="A371" s="8" t="s">
        <v>483</v>
      </c>
      <c r="B371" s="3"/>
      <c r="C371" s="3"/>
      <c r="D371" s="3"/>
      <c r="E371" s="3"/>
      <c r="F371" s="20">
        <v>0</v>
      </c>
      <c r="G371" s="20">
        <v>-1.49</v>
      </c>
      <c r="H371" s="20">
        <v>0</v>
      </c>
      <c r="I371" s="20">
        <v>0</v>
      </c>
      <c r="J371" s="20">
        <v>0</v>
      </c>
      <c r="K371" s="3"/>
      <c r="L371" s="3"/>
    </row>
    <row r="372" spans="1:12" ht="19.5" x14ac:dyDescent="0.4">
      <c r="A372" s="8" t="s">
        <v>353</v>
      </c>
      <c r="B372" s="3"/>
      <c r="C372" s="3"/>
      <c r="D372" s="3"/>
      <c r="E372" s="3"/>
      <c r="F372" s="20">
        <v>0</v>
      </c>
      <c r="G372" s="20">
        <v>-1.75</v>
      </c>
      <c r="H372" s="20">
        <v>0</v>
      </c>
      <c r="I372" s="20">
        <v>0</v>
      </c>
      <c r="J372" s="20">
        <v>0</v>
      </c>
      <c r="K372" s="3"/>
      <c r="L372" s="3"/>
    </row>
    <row r="373" spans="1:12" ht="19.5" x14ac:dyDescent="0.4">
      <c r="A373" s="8" t="s">
        <v>310</v>
      </c>
      <c r="B373" s="3"/>
      <c r="C373" s="3"/>
      <c r="D373" s="3"/>
      <c r="E373" s="3"/>
      <c r="F373" s="20">
        <v>0</v>
      </c>
      <c r="G373" s="20">
        <v>-1.78</v>
      </c>
      <c r="H373" s="20">
        <v>0</v>
      </c>
      <c r="I373" s="20">
        <v>0</v>
      </c>
      <c r="J373" s="20">
        <v>0</v>
      </c>
      <c r="K373" s="3"/>
      <c r="L373" s="3"/>
    </row>
    <row r="374" spans="1:12" ht="19.5" x14ac:dyDescent="0.4">
      <c r="A374" s="8" t="s">
        <v>484</v>
      </c>
      <c r="B374" s="3"/>
      <c r="C374" s="3"/>
      <c r="D374" s="3"/>
      <c r="E374" s="3"/>
      <c r="F374" s="20">
        <v>0</v>
      </c>
      <c r="G374" s="20">
        <v>-1.9</v>
      </c>
      <c r="H374" s="20">
        <v>0</v>
      </c>
      <c r="I374" s="20">
        <v>0</v>
      </c>
      <c r="J374" s="20">
        <v>0</v>
      </c>
      <c r="K374" s="3"/>
      <c r="L374" s="3"/>
    </row>
    <row r="375" spans="1:12" ht="19.5" x14ac:dyDescent="0.4">
      <c r="A375" s="8" t="s">
        <v>358</v>
      </c>
      <c r="B375" s="3"/>
      <c r="C375" s="3"/>
      <c r="D375" s="3"/>
      <c r="E375" s="3"/>
      <c r="F375" s="20">
        <v>0</v>
      </c>
      <c r="G375" s="20">
        <v>-1.46</v>
      </c>
      <c r="H375" s="20">
        <v>-0.46</v>
      </c>
      <c r="I375" s="20">
        <v>0</v>
      </c>
      <c r="J375" s="20">
        <v>0</v>
      </c>
      <c r="K375" s="3"/>
      <c r="L375" s="3"/>
    </row>
    <row r="376" spans="1:12" ht="19.5" x14ac:dyDescent="0.4">
      <c r="A376" s="8" t="s">
        <v>485</v>
      </c>
      <c r="B376" s="3"/>
      <c r="C376" s="3"/>
      <c r="D376" s="3"/>
      <c r="E376" s="3"/>
      <c r="F376" s="20">
        <v>0</v>
      </c>
      <c r="G376" s="20">
        <v>-4.22</v>
      </c>
      <c r="H376" s="20">
        <v>0</v>
      </c>
      <c r="I376" s="20">
        <v>1.65</v>
      </c>
      <c r="J376" s="20">
        <v>0</v>
      </c>
      <c r="K376" s="3"/>
      <c r="L376" s="3"/>
    </row>
    <row r="377" spans="1:12" ht="19.5" x14ac:dyDescent="0.4">
      <c r="A377" s="8" t="s">
        <v>313</v>
      </c>
      <c r="B377" s="3"/>
      <c r="C377" s="3"/>
      <c r="D377" s="3"/>
      <c r="E377" s="3"/>
      <c r="F377" s="20">
        <v>0</v>
      </c>
      <c r="G377" s="20">
        <v>-3</v>
      </c>
      <c r="H377" s="20">
        <v>0</v>
      </c>
      <c r="I377" s="20">
        <v>0</v>
      </c>
      <c r="J377" s="20">
        <v>0</v>
      </c>
      <c r="K377" s="3"/>
      <c r="L377" s="3"/>
    </row>
    <row r="378" spans="1:12" ht="19.5" x14ac:dyDescent="0.4">
      <c r="A378" s="8" t="s">
        <v>170</v>
      </c>
      <c r="B378" s="3"/>
      <c r="C378" s="3"/>
      <c r="D378" s="3"/>
      <c r="E378" s="3"/>
      <c r="F378" s="20">
        <v>0</v>
      </c>
      <c r="G378" s="20">
        <v>-4.41</v>
      </c>
      <c r="H378" s="20">
        <v>0.75</v>
      </c>
      <c r="I378" s="20">
        <v>0</v>
      </c>
      <c r="J378" s="20">
        <v>0</v>
      </c>
      <c r="K378" s="3"/>
      <c r="L378" s="3"/>
    </row>
    <row r="379" spans="1:12" ht="19.5" x14ac:dyDescent="0.4">
      <c r="A379" s="8" t="s">
        <v>278</v>
      </c>
      <c r="B379" s="3"/>
      <c r="C379" s="3"/>
      <c r="D379" s="3"/>
      <c r="E379" s="3"/>
      <c r="F379" s="20">
        <v>0</v>
      </c>
      <c r="G379" s="20">
        <v>-4.0999999999999996</v>
      </c>
      <c r="H379" s="20">
        <v>0</v>
      </c>
      <c r="I379" s="20">
        <v>0</v>
      </c>
      <c r="J379" s="20">
        <v>0</v>
      </c>
      <c r="K379" s="3"/>
      <c r="L379" s="3"/>
    </row>
    <row r="380" spans="1:12" ht="19.5" x14ac:dyDescent="0.4">
      <c r="A380" s="8" t="s">
        <v>235</v>
      </c>
      <c r="B380" s="3"/>
      <c r="C380" s="3"/>
      <c r="D380" s="3"/>
      <c r="E380" s="3"/>
      <c r="F380" s="20">
        <v>0</v>
      </c>
      <c r="G380" s="20">
        <v>-2187.6</v>
      </c>
      <c r="H380" s="20">
        <v>0</v>
      </c>
      <c r="I380" s="20">
        <v>0</v>
      </c>
      <c r="J380" s="20">
        <v>2180.4899999999998</v>
      </c>
      <c r="K380" s="3"/>
      <c r="L380" s="3"/>
    </row>
    <row r="381" spans="1:12" ht="19.5" x14ac:dyDescent="0.4">
      <c r="A381" s="8" t="s">
        <v>270</v>
      </c>
      <c r="B381" s="3"/>
      <c r="C381" s="3"/>
      <c r="D381" s="3"/>
      <c r="E381" s="3"/>
      <c r="F381" s="20">
        <v>0</v>
      </c>
      <c r="G381" s="20">
        <v>0</v>
      </c>
      <c r="H381" s="20">
        <v>-7.25</v>
      </c>
      <c r="I381" s="20">
        <v>0</v>
      </c>
      <c r="J381" s="20">
        <v>0</v>
      </c>
      <c r="K381" s="3"/>
      <c r="L381" s="3"/>
    </row>
    <row r="382" spans="1:12" ht="19.5" x14ac:dyDescent="0.4">
      <c r="A382" s="8" t="s">
        <v>309</v>
      </c>
      <c r="B382" s="3"/>
      <c r="C382" s="3"/>
      <c r="D382" s="3"/>
      <c r="E382" s="3"/>
      <c r="F382" s="20">
        <v>0</v>
      </c>
      <c r="G382" s="20">
        <v>-8.1999999999999993</v>
      </c>
      <c r="H382" s="20">
        <v>0</v>
      </c>
      <c r="I382" s="20">
        <v>0</v>
      </c>
      <c r="J382" s="20">
        <v>0</v>
      </c>
      <c r="K382" s="3"/>
      <c r="L382" s="3"/>
    </row>
    <row r="383" spans="1:12" ht="19.5" x14ac:dyDescent="0.4">
      <c r="A383" s="8" t="s">
        <v>179</v>
      </c>
      <c r="B383" s="3"/>
      <c r="C383" s="3"/>
      <c r="D383" s="3"/>
      <c r="E383" s="3"/>
      <c r="F383" s="20">
        <v>0</v>
      </c>
      <c r="G383" s="20">
        <v>-8.4499999999999993</v>
      </c>
      <c r="H383" s="20">
        <v>0</v>
      </c>
      <c r="I383" s="20">
        <v>0</v>
      </c>
      <c r="J383" s="20">
        <v>0</v>
      </c>
      <c r="K383" s="3"/>
      <c r="L383" s="3"/>
    </row>
    <row r="384" spans="1:12" ht="19.5" x14ac:dyDescent="0.4">
      <c r="A384" s="8" t="s">
        <v>486</v>
      </c>
      <c r="B384" s="3"/>
      <c r="C384" s="3"/>
      <c r="D384" s="3"/>
      <c r="E384" s="3"/>
      <c r="F384" s="20">
        <v>0</v>
      </c>
      <c r="G384" s="20">
        <v>-9.1199999999999992</v>
      </c>
      <c r="H384" s="20">
        <v>0</v>
      </c>
      <c r="I384" s="20">
        <v>0</v>
      </c>
      <c r="J384" s="20">
        <v>0</v>
      </c>
      <c r="K384" s="3"/>
      <c r="L384" s="3"/>
    </row>
    <row r="385" spans="1:12" ht="19.5" x14ac:dyDescent="0.4">
      <c r="A385" s="8" t="s">
        <v>257</v>
      </c>
      <c r="B385" s="3"/>
      <c r="C385" s="3"/>
      <c r="D385" s="3"/>
      <c r="E385" s="3"/>
      <c r="F385" s="20">
        <v>0</v>
      </c>
      <c r="G385" s="20">
        <v>-11</v>
      </c>
      <c r="H385" s="20">
        <v>0</v>
      </c>
      <c r="I385" s="20">
        <v>0</v>
      </c>
      <c r="J385" s="20">
        <v>0</v>
      </c>
      <c r="K385" s="3"/>
      <c r="L385" s="3"/>
    </row>
    <row r="386" spans="1:12" ht="19.5" x14ac:dyDescent="0.4">
      <c r="A386" s="8" t="s">
        <v>487</v>
      </c>
      <c r="B386" s="3"/>
      <c r="C386" s="3"/>
      <c r="D386" s="3"/>
      <c r="E386" s="3"/>
      <c r="F386" s="20">
        <v>0</v>
      </c>
      <c r="G386" s="20">
        <v>-24.47</v>
      </c>
      <c r="H386" s="20">
        <v>0</v>
      </c>
      <c r="I386" s="20">
        <v>0</v>
      </c>
      <c r="J386" s="20">
        <v>0</v>
      </c>
      <c r="K386" s="3"/>
      <c r="L386" s="3"/>
    </row>
    <row r="387" spans="1:12" ht="19.5" x14ac:dyDescent="0.4">
      <c r="A387" s="8" t="s">
        <v>216</v>
      </c>
      <c r="B387" s="3"/>
      <c r="C387" s="3"/>
      <c r="D387" s="3"/>
      <c r="E387" s="3"/>
      <c r="F387" s="20">
        <v>0</v>
      </c>
      <c r="G387" s="20">
        <v>-45.5</v>
      </c>
      <c r="H387" s="20">
        <v>0</v>
      </c>
      <c r="I387" s="20">
        <v>0</v>
      </c>
      <c r="J387" s="20">
        <v>0</v>
      </c>
      <c r="K387" s="3"/>
      <c r="L387" s="3"/>
    </row>
    <row r="388" spans="1:12" ht="19.5" x14ac:dyDescent="0.4">
      <c r="A388" s="8" t="s">
        <v>359</v>
      </c>
      <c r="B388" s="3"/>
      <c r="C388" s="3"/>
      <c r="D388" s="3"/>
      <c r="E388" s="3"/>
      <c r="F388" s="20">
        <v>0</v>
      </c>
      <c r="G388" s="20">
        <v>-47.15</v>
      </c>
      <c r="H388" s="20">
        <v>0</v>
      </c>
      <c r="I388" s="20">
        <v>0</v>
      </c>
      <c r="J388" s="20">
        <v>0</v>
      </c>
      <c r="K388" s="3"/>
      <c r="L388" s="3"/>
    </row>
    <row r="389" spans="1:12" ht="19.5" x14ac:dyDescent="0.4">
      <c r="A389" s="8" t="s">
        <v>173</v>
      </c>
      <c r="B389" s="3"/>
      <c r="C389" s="3"/>
      <c r="D389" s="3"/>
      <c r="E389" s="3"/>
      <c r="F389" s="20">
        <v>0</v>
      </c>
      <c r="G389" s="20">
        <v>-12387</v>
      </c>
      <c r="H389" s="20">
        <v>0</v>
      </c>
      <c r="I389" s="20">
        <v>0</v>
      </c>
      <c r="J389" s="20">
        <v>12313.8</v>
      </c>
      <c r="K389" s="3"/>
      <c r="L389" s="3"/>
    </row>
    <row r="390" spans="1:12" ht="19.5" x14ac:dyDescent="0.4">
      <c r="A390" s="8" t="s">
        <v>177</v>
      </c>
      <c r="B390" s="3"/>
      <c r="C390" s="3"/>
      <c r="D390" s="3"/>
      <c r="E390" s="3"/>
      <c r="F390" s="20">
        <v>0</v>
      </c>
      <c r="G390" s="20">
        <v>-75</v>
      </c>
      <c r="H390" s="20">
        <v>0</v>
      </c>
      <c r="I390" s="20">
        <v>0</v>
      </c>
      <c r="J390" s="20">
        <v>0</v>
      </c>
      <c r="K390" s="3"/>
      <c r="L390" s="3"/>
    </row>
    <row r="391" spans="1:12" ht="19.5" x14ac:dyDescent="0.4">
      <c r="A391" s="8" t="s">
        <v>488</v>
      </c>
      <c r="B391" s="3"/>
      <c r="C391" s="3"/>
      <c r="D391" s="3"/>
      <c r="E391" s="3"/>
      <c r="F391" s="20">
        <v>0</v>
      </c>
      <c r="G391" s="20">
        <v>-88.75</v>
      </c>
      <c r="H391" s="20">
        <v>0</v>
      </c>
      <c r="I391" s="20">
        <v>0</v>
      </c>
      <c r="J391" s="20">
        <v>0</v>
      </c>
      <c r="K391" s="3"/>
      <c r="L391" s="3"/>
    </row>
    <row r="392" spans="1:12" ht="19.5" x14ac:dyDescent="0.4">
      <c r="A392" s="8" t="s">
        <v>489</v>
      </c>
      <c r="B392" s="3"/>
      <c r="C392" s="3"/>
      <c r="D392" s="3"/>
      <c r="E392" s="3"/>
      <c r="F392" s="20">
        <v>0</v>
      </c>
      <c r="G392" s="20">
        <v>-88.8</v>
      </c>
      <c r="H392" s="20">
        <v>0</v>
      </c>
      <c r="I392" s="20">
        <v>0</v>
      </c>
      <c r="J392" s="20">
        <v>0</v>
      </c>
      <c r="K392" s="3"/>
      <c r="L392" s="3"/>
    </row>
    <row r="393" spans="1:12" ht="19.5" x14ac:dyDescent="0.4">
      <c r="A393" s="8" t="s">
        <v>490</v>
      </c>
      <c r="B393" s="3"/>
      <c r="C393" s="3"/>
      <c r="D393" s="3"/>
      <c r="E393" s="3"/>
      <c r="F393" s="20">
        <v>0</v>
      </c>
      <c r="G393" s="20">
        <v>0</v>
      </c>
      <c r="H393" s="20">
        <v>0</v>
      </c>
      <c r="I393" s="20">
        <v>0</v>
      </c>
      <c r="J393" s="20">
        <v>-104.41</v>
      </c>
      <c r="K393" s="3"/>
      <c r="L393" s="3"/>
    </row>
    <row r="394" spans="1:12" ht="19.5" x14ac:dyDescent="0.4">
      <c r="A394" s="8" t="s">
        <v>302</v>
      </c>
      <c r="B394" s="3"/>
      <c r="C394" s="3"/>
      <c r="D394" s="3"/>
      <c r="E394" s="3"/>
      <c r="F394" s="20">
        <v>0</v>
      </c>
      <c r="G394" s="20">
        <v>0</v>
      </c>
      <c r="H394" s="20">
        <v>0</v>
      </c>
      <c r="I394" s="20">
        <v>-0.38</v>
      </c>
      <c r="J394" s="20">
        <v>-159.66999999999999</v>
      </c>
      <c r="K394" s="3"/>
      <c r="L394" s="3"/>
    </row>
    <row r="395" spans="1:12" ht="19.5" x14ac:dyDescent="0.4">
      <c r="A395" s="8" t="s">
        <v>268</v>
      </c>
      <c r="B395" s="3"/>
      <c r="C395" s="3"/>
      <c r="D395" s="3"/>
      <c r="E395" s="3"/>
      <c r="F395" s="20">
        <v>0</v>
      </c>
      <c r="G395" s="20">
        <v>-199.4</v>
      </c>
      <c r="H395" s="20">
        <v>0</v>
      </c>
      <c r="I395" s="20">
        <v>0</v>
      </c>
      <c r="J395" s="20">
        <v>0</v>
      </c>
      <c r="K395" s="3"/>
      <c r="L395" s="3"/>
    </row>
    <row r="396" spans="1:12" ht="19.5" x14ac:dyDescent="0.4">
      <c r="A396" s="8" t="s">
        <v>207</v>
      </c>
      <c r="B396" s="3"/>
      <c r="C396" s="3"/>
      <c r="D396" s="3"/>
      <c r="E396" s="3"/>
      <c r="F396" s="21">
        <v>0</v>
      </c>
      <c r="G396" s="21">
        <v>0</v>
      </c>
      <c r="H396" s="21">
        <v>0</v>
      </c>
      <c r="I396" s="21">
        <v>-224.45</v>
      </c>
      <c r="J396" s="21">
        <v>0</v>
      </c>
      <c r="K396" s="3"/>
      <c r="L396" s="3"/>
    </row>
    <row r="397" spans="1:12" ht="19.5" x14ac:dyDescent="0.4">
      <c r="A397" s="8" t="s">
        <v>491</v>
      </c>
      <c r="B397" s="3"/>
      <c r="C397" s="3"/>
      <c r="D397" s="3"/>
      <c r="E397" s="3"/>
      <c r="F397" s="20">
        <v>0</v>
      </c>
      <c r="G397" s="20">
        <v>-319.5</v>
      </c>
      <c r="H397" s="20">
        <v>39.450000000000003</v>
      </c>
      <c r="I397" s="20">
        <v>0</v>
      </c>
      <c r="J397" s="20">
        <v>0</v>
      </c>
      <c r="K397" s="3"/>
      <c r="L397" s="3"/>
    </row>
    <row r="398" spans="1:12" ht="19.5" x14ac:dyDescent="0.4">
      <c r="A398" s="8" t="s">
        <v>269</v>
      </c>
      <c r="B398" s="3"/>
      <c r="C398" s="3"/>
      <c r="D398" s="3"/>
      <c r="E398" s="3"/>
      <c r="F398" s="20">
        <v>0</v>
      </c>
      <c r="G398" s="20">
        <v>-294</v>
      </c>
      <c r="H398" s="20">
        <v>-0.18</v>
      </c>
      <c r="I398" s="20">
        <v>0</v>
      </c>
      <c r="J398" s="20">
        <v>-1.82</v>
      </c>
      <c r="K398" s="3"/>
      <c r="L398" s="3"/>
    </row>
    <row r="399" spans="1:12" ht="19.5" x14ac:dyDescent="0.4">
      <c r="A399" s="8" t="s">
        <v>492</v>
      </c>
      <c r="B399" s="3"/>
      <c r="C399" s="3"/>
      <c r="D399" s="3"/>
      <c r="E399" s="3"/>
      <c r="F399" s="20">
        <v>-2.75</v>
      </c>
      <c r="G399" s="20">
        <v>-298.25</v>
      </c>
      <c r="H399" s="20">
        <v>0</v>
      </c>
      <c r="I399" s="20">
        <v>0</v>
      </c>
      <c r="J399" s="20">
        <v>0</v>
      </c>
      <c r="K399" s="3"/>
      <c r="L399" s="3"/>
    </row>
    <row r="400" spans="1:12" ht="19.5" x14ac:dyDescent="0.4">
      <c r="A400" s="8" t="s">
        <v>271</v>
      </c>
      <c r="B400" s="3"/>
      <c r="C400" s="3"/>
      <c r="D400" s="3"/>
      <c r="E400" s="3"/>
      <c r="F400" s="20">
        <v>0</v>
      </c>
      <c r="G400" s="20">
        <v>0</v>
      </c>
      <c r="H400" s="20">
        <v>-360</v>
      </c>
      <c r="I400" s="20">
        <v>0</v>
      </c>
      <c r="J400" s="20">
        <v>0</v>
      </c>
      <c r="K400" s="3"/>
      <c r="L400" s="3"/>
    </row>
    <row r="401" spans="1:12" ht="19.5" x14ac:dyDescent="0.4">
      <c r="A401" s="8" t="s">
        <v>273</v>
      </c>
      <c r="B401" s="3"/>
      <c r="C401" s="3"/>
      <c r="D401" s="3"/>
      <c r="E401" s="3"/>
      <c r="F401" s="20">
        <v>0</v>
      </c>
      <c r="G401" s="20">
        <v>-480.44</v>
      </c>
      <c r="H401" s="20">
        <v>46.03</v>
      </c>
      <c r="I401" s="20">
        <v>0</v>
      </c>
      <c r="J401" s="20">
        <v>0</v>
      </c>
      <c r="K401" s="3"/>
      <c r="L401" s="3"/>
    </row>
    <row r="402" spans="1:12" ht="19.5" x14ac:dyDescent="0.4">
      <c r="A402" s="8" t="s">
        <v>274</v>
      </c>
      <c r="B402" s="3"/>
      <c r="C402" s="3"/>
      <c r="D402" s="3"/>
      <c r="E402" s="3"/>
      <c r="F402" s="20">
        <v>0</v>
      </c>
      <c r="G402" s="20">
        <v>0</v>
      </c>
      <c r="H402" s="20">
        <v>-489.76</v>
      </c>
      <c r="I402" s="20">
        <v>0</v>
      </c>
      <c r="J402" s="20">
        <v>0</v>
      </c>
      <c r="K402" s="3"/>
      <c r="L402" s="3"/>
    </row>
    <row r="403" spans="1:12" ht="19.5" x14ac:dyDescent="0.4">
      <c r="A403" s="8" t="s">
        <v>275</v>
      </c>
      <c r="B403" s="3"/>
      <c r="C403" s="3"/>
      <c r="D403" s="3"/>
      <c r="E403" s="3"/>
      <c r="F403" s="20">
        <v>0</v>
      </c>
      <c r="G403" s="20">
        <v>286.57</v>
      </c>
      <c r="H403" s="20">
        <v>0</v>
      </c>
      <c r="I403" s="20">
        <v>0</v>
      </c>
      <c r="J403" s="20">
        <v>-803.57</v>
      </c>
      <c r="K403" s="3"/>
      <c r="L403" s="3"/>
    </row>
    <row r="404" spans="1:12" ht="19.5" x14ac:dyDescent="0.4">
      <c r="A404" s="8" t="s">
        <v>285</v>
      </c>
      <c r="B404" s="3"/>
      <c r="C404" s="3"/>
      <c r="D404" s="3"/>
      <c r="E404" s="3"/>
      <c r="F404" s="20">
        <v>0</v>
      </c>
      <c r="G404" s="20">
        <v>0</v>
      </c>
      <c r="H404" s="20">
        <v>0</v>
      </c>
      <c r="I404" s="20">
        <v>0</v>
      </c>
      <c r="J404" s="20">
        <v>-533.5</v>
      </c>
      <c r="K404" s="3"/>
      <c r="L404" s="3"/>
    </row>
    <row r="405" spans="1:12" ht="19.5" x14ac:dyDescent="0.4">
      <c r="A405" s="8" t="s">
        <v>277</v>
      </c>
      <c r="B405" s="3"/>
      <c r="C405" s="3"/>
      <c r="D405" s="3"/>
      <c r="E405" s="3"/>
      <c r="F405" s="20">
        <v>0</v>
      </c>
      <c r="G405" s="20">
        <v>0</v>
      </c>
      <c r="H405" s="20">
        <v>0</v>
      </c>
      <c r="I405" s="20">
        <v>0</v>
      </c>
      <c r="J405" s="20">
        <v>-647.66999999999996</v>
      </c>
      <c r="K405" s="3"/>
      <c r="L405" s="3"/>
    </row>
    <row r="406" spans="1:12" ht="19.5" x14ac:dyDescent="0.4">
      <c r="A406" s="8" t="s">
        <v>259</v>
      </c>
      <c r="B406" s="3"/>
      <c r="C406" s="3"/>
      <c r="D406" s="3"/>
      <c r="E406" s="3"/>
      <c r="F406" s="20">
        <v>0</v>
      </c>
      <c r="G406" s="20">
        <v>-855</v>
      </c>
      <c r="H406" s="20">
        <v>0</v>
      </c>
      <c r="I406" s="20">
        <v>0</v>
      </c>
      <c r="J406" s="20">
        <v>0</v>
      </c>
      <c r="K406" s="3"/>
      <c r="L406" s="3"/>
    </row>
    <row r="407" spans="1:12" ht="19.5" x14ac:dyDescent="0.4">
      <c r="A407" s="8" t="s">
        <v>279</v>
      </c>
      <c r="B407" s="3"/>
      <c r="C407" s="3"/>
      <c r="D407" s="3"/>
      <c r="E407" s="3"/>
      <c r="F407" s="20">
        <v>0</v>
      </c>
      <c r="G407" s="20">
        <v>0</v>
      </c>
      <c r="H407" s="20">
        <v>-875</v>
      </c>
      <c r="I407" s="20">
        <v>0</v>
      </c>
      <c r="J407" s="20">
        <v>0</v>
      </c>
      <c r="K407" s="3"/>
      <c r="L407" s="3"/>
    </row>
    <row r="408" spans="1:12" ht="19.5" x14ac:dyDescent="0.4">
      <c r="A408" s="8" t="s">
        <v>493</v>
      </c>
      <c r="B408" s="3"/>
      <c r="C408" s="3"/>
      <c r="D408" s="3"/>
      <c r="E408" s="3"/>
      <c r="F408" s="20">
        <v>0</v>
      </c>
      <c r="G408" s="20">
        <v>-946</v>
      </c>
      <c r="H408" s="20">
        <v>0</v>
      </c>
      <c r="I408" s="20">
        <v>0</v>
      </c>
      <c r="J408" s="20">
        <v>0</v>
      </c>
      <c r="K408" s="3"/>
      <c r="L408" s="3"/>
    </row>
    <row r="409" spans="1:12" ht="19.5" x14ac:dyDescent="0.4">
      <c r="A409" s="8" t="s">
        <v>280</v>
      </c>
      <c r="B409" s="3"/>
      <c r="C409" s="3"/>
      <c r="D409" s="3"/>
      <c r="E409" s="3"/>
      <c r="F409" s="20">
        <v>0</v>
      </c>
      <c r="G409" s="20">
        <v>0</v>
      </c>
      <c r="H409" s="20">
        <v>0</v>
      </c>
      <c r="I409" s="20">
        <v>0</v>
      </c>
      <c r="J409" s="20">
        <v>-966.1</v>
      </c>
      <c r="K409" s="3"/>
      <c r="L409" s="3"/>
    </row>
    <row r="410" spans="1:12" ht="19.5" x14ac:dyDescent="0.4">
      <c r="A410" s="8" t="s">
        <v>281</v>
      </c>
      <c r="B410" s="3"/>
      <c r="C410" s="3"/>
      <c r="D410" s="3"/>
      <c r="E410" s="3"/>
      <c r="F410" s="20">
        <v>0</v>
      </c>
      <c r="G410" s="20">
        <v>0</v>
      </c>
      <c r="H410" s="20">
        <v>0</v>
      </c>
      <c r="I410" s="20">
        <v>0</v>
      </c>
      <c r="J410" s="20">
        <v>-1009.98</v>
      </c>
      <c r="K410" s="3"/>
      <c r="L410" s="3"/>
    </row>
    <row r="411" spans="1:12" ht="19.5" x14ac:dyDescent="0.4">
      <c r="A411" s="8" t="s">
        <v>282</v>
      </c>
      <c r="B411" s="3"/>
      <c r="C411" s="3"/>
      <c r="D411" s="3"/>
      <c r="E411" s="3"/>
      <c r="F411" s="20">
        <v>0</v>
      </c>
      <c r="G411" s="20">
        <v>0</v>
      </c>
      <c r="H411" s="20">
        <v>0</v>
      </c>
      <c r="I411" s="20">
        <v>-340</v>
      </c>
      <c r="J411" s="20">
        <v>-1000</v>
      </c>
      <c r="K411" s="3"/>
      <c r="L411" s="3"/>
    </row>
    <row r="412" spans="1:12" ht="19.5" x14ac:dyDescent="0.4">
      <c r="A412" s="8" t="s">
        <v>192</v>
      </c>
      <c r="B412" s="3"/>
      <c r="C412" s="3"/>
      <c r="D412" s="3"/>
      <c r="E412" s="3"/>
      <c r="F412" s="20">
        <v>0</v>
      </c>
      <c r="G412" s="20">
        <v>-1341.02</v>
      </c>
      <c r="H412" s="20">
        <v>0</v>
      </c>
      <c r="I412" s="20">
        <v>0</v>
      </c>
      <c r="J412" s="20">
        <v>0</v>
      </c>
      <c r="K412" s="3"/>
      <c r="L412" s="3"/>
    </row>
    <row r="413" spans="1:12" ht="19.5" x14ac:dyDescent="0.4">
      <c r="A413" s="8" t="s">
        <v>283</v>
      </c>
      <c r="B413" s="3"/>
      <c r="C413" s="3"/>
      <c r="D413" s="3"/>
      <c r="E413" s="3"/>
      <c r="F413" s="20">
        <v>0</v>
      </c>
      <c r="G413" s="20">
        <v>0</v>
      </c>
      <c r="H413" s="20">
        <v>0</v>
      </c>
      <c r="I413" s="20">
        <v>0</v>
      </c>
      <c r="J413" s="20">
        <v>-1421.62</v>
      </c>
      <c r="K413" s="3"/>
      <c r="L413" s="3"/>
    </row>
    <row r="414" spans="1:12" ht="19.5" x14ac:dyDescent="0.4">
      <c r="A414" s="8" t="s">
        <v>284</v>
      </c>
      <c r="B414" s="3"/>
      <c r="C414" s="3"/>
      <c r="D414" s="3"/>
      <c r="E414" s="3"/>
      <c r="F414" s="20">
        <v>0</v>
      </c>
      <c r="G414" s="20">
        <v>0</v>
      </c>
      <c r="H414" s="20">
        <v>0</v>
      </c>
      <c r="I414" s="20">
        <v>-1450</v>
      </c>
      <c r="J414" s="20">
        <v>0</v>
      </c>
      <c r="K414" s="3"/>
      <c r="L414" s="3"/>
    </row>
    <row r="415" spans="1:12" ht="19.5" x14ac:dyDescent="0.4">
      <c r="A415" s="8" t="s">
        <v>287</v>
      </c>
      <c r="B415" s="3"/>
      <c r="C415" s="3"/>
      <c r="D415" s="3"/>
      <c r="E415" s="3"/>
      <c r="F415" s="20">
        <v>0</v>
      </c>
      <c r="G415" s="20">
        <v>-1600</v>
      </c>
      <c r="H415" s="20">
        <v>0</v>
      </c>
      <c r="I415" s="20">
        <v>0</v>
      </c>
      <c r="J415" s="20">
        <v>0</v>
      </c>
      <c r="K415" s="3"/>
      <c r="L415" s="3"/>
    </row>
    <row r="416" spans="1:12" ht="19.5" x14ac:dyDescent="0.4">
      <c r="A416" s="8" t="s">
        <v>289</v>
      </c>
      <c r="B416" s="3"/>
      <c r="C416" s="3"/>
      <c r="D416" s="3"/>
      <c r="E416" s="3"/>
      <c r="F416" s="20">
        <v>0</v>
      </c>
      <c r="G416" s="20">
        <v>0</v>
      </c>
      <c r="H416" s="20">
        <v>-1777.5</v>
      </c>
      <c r="I416" s="20">
        <v>0</v>
      </c>
      <c r="J416" s="20">
        <v>0</v>
      </c>
      <c r="K416" s="3"/>
      <c r="L416" s="3"/>
    </row>
    <row r="417" spans="1:12" ht="19.5" x14ac:dyDescent="0.4">
      <c r="A417" s="8" t="s">
        <v>331</v>
      </c>
      <c r="B417" s="3"/>
      <c r="C417" s="3"/>
      <c r="D417" s="3"/>
      <c r="E417" s="3"/>
      <c r="F417" s="20">
        <v>-4087.85</v>
      </c>
      <c r="G417" s="20">
        <v>1999.6</v>
      </c>
      <c r="H417" s="20">
        <v>0</v>
      </c>
      <c r="I417" s="20">
        <v>0</v>
      </c>
      <c r="J417" s="20">
        <v>0</v>
      </c>
      <c r="K417" s="3"/>
      <c r="L417" s="3"/>
    </row>
    <row r="418" spans="1:12" ht="19.5" x14ac:dyDescent="0.4">
      <c r="A418" s="8" t="s">
        <v>291</v>
      </c>
      <c r="B418" s="3"/>
      <c r="C418" s="3"/>
      <c r="D418" s="3"/>
      <c r="E418" s="3"/>
      <c r="F418" s="20">
        <v>0</v>
      </c>
      <c r="G418" s="20">
        <v>0</v>
      </c>
      <c r="H418" s="20">
        <v>0</v>
      </c>
      <c r="I418" s="20">
        <v>0</v>
      </c>
      <c r="J418" s="20">
        <v>-2574.9899999999998</v>
      </c>
      <c r="K418" s="3"/>
      <c r="L418" s="3"/>
    </row>
    <row r="419" spans="1:12" ht="19.5" x14ac:dyDescent="0.4">
      <c r="A419" s="8" t="s">
        <v>300</v>
      </c>
      <c r="B419" s="3"/>
      <c r="C419" s="3"/>
      <c r="D419" s="3"/>
      <c r="E419" s="3"/>
      <c r="F419" s="20">
        <v>0</v>
      </c>
      <c r="G419" s="20">
        <v>-2685.61</v>
      </c>
      <c r="H419" s="20">
        <v>0</v>
      </c>
      <c r="I419" s="20">
        <v>0</v>
      </c>
      <c r="J419" s="20">
        <v>0</v>
      </c>
      <c r="K419" s="3"/>
      <c r="L419" s="3"/>
    </row>
    <row r="420" spans="1:12" ht="19.5" x14ac:dyDescent="0.4">
      <c r="A420" s="8" t="s">
        <v>494</v>
      </c>
      <c r="B420" s="3"/>
      <c r="C420" s="3"/>
      <c r="D420" s="3"/>
      <c r="E420" s="3"/>
      <c r="F420" s="20">
        <v>0</v>
      </c>
      <c r="G420" s="20">
        <v>-3090</v>
      </c>
      <c r="H420" s="20">
        <v>0</v>
      </c>
      <c r="I420" s="20">
        <v>0</v>
      </c>
      <c r="J420" s="20">
        <v>0</v>
      </c>
      <c r="K420" s="3"/>
      <c r="L420" s="3"/>
    </row>
    <row r="421" spans="1:12" ht="19.5" x14ac:dyDescent="0.4">
      <c r="A421" s="8" t="s">
        <v>294</v>
      </c>
      <c r="B421" s="3"/>
      <c r="C421" s="3"/>
      <c r="D421" s="3"/>
      <c r="E421" s="3"/>
      <c r="F421" s="20">
        <v>0</v>
      </c>
      <c r="G421" s="20">
        <v>0</v>
      </c>
      <c r="H421" s="20">
        <v>30.62</v>
      </c>
      <c r="I421" s="20">
        <v>0</v>
      </c>
      <c r="J421" s="20">
        <v>-3324</v>
      </c>
      <c r="K421" s="3"/>
      <c r="L421" s="3"/>
    </row>
    <row r="422" spans="1:12" ht="19.5" x14ac:dyDescent="0.4">
      <c r="A422" s="8" t="s">
        <v>495</v>
      </c>
      <c r="B422" s="3"/>
      <c r="C422" s="3"/>
      <c r="D422" s="3"/>
      <c r="E422" s="3"/>
      <c r="F422" s="20">
        <v>0</v>
      </c>
      <c r="G422" s="20">
        <v>-3864</v>
      </c>
      <c r="H422" s="20">
        <v>0</v>
      </c>
      <c r="I422" s="20">
        <v>0</v>
      </c>
      <c r="J422" s="20">
        <v>0</v>
      </c>
      <c r="K422" s="3"/>
      <c r="L422" s="3"/>
    </row>
    <row r="423" spans="1:12" ht="19.5" x14ac:dyDescent="0.4">
      <c r="A423" s="8" t="s">
        <v>296</v>
      </c>
      <c r="B423" s="3"/>
      <c r="C423" s="3"/>
      <c r="D423" s="3"/>
      <c r="E423" s="3"/>
      <c r="F423" s="20">
        <v>0</v>
      </c>
      <c r="G423" s="20">
        <v>0</v>
      </c>
      <c r="H423" s="20">
        <v>0</v>
      </c>
      <c r="I423" s="20">
        <v>0</v>
      </c>
      <c r="J423" s="20">
        <v>-4410</v>
      </c>
      <c r="K423" s="3"/>
      <c r="L423" s="3"/>
    </row>
    <row r="424" spans="1:12" ht="19.5" x14ac:dyDescent="0.4">
      <c r="A424" s="8" t="s">
        <v>297</v>
      </c>
      <c r="B424" s="3"/>
      <c r="C424" s="3"/>
      <c r="D424" s="3"/>
      <c r="E424" s="3"/>
      <c r="F424" s="20">
        <v>0</v>
      </c>
      <c r="G424" s="20">
        <v>0</v>
      </c>
      <c r="H424" s="20">
        <v>-209.5</v>
      </c>
      <c r="I424" s="20">
        <v>0</v>
      </c>
      <c r="J424" s="20">
        <v>-4339.2</v>
      </c>
      <c r="K424" s="3"/>
      <c r="L424" s="3"/>
    </row>
    <row r="425" spans="1:12" ht="19.5" x14ac:dyDescent="0.4">
      <c r="A425" s="8" t="s">
        <v>298</v>
      </c>
      <c r="B425" s="3"/>
      <c r="C425" s="3"/>
      <c r="D425" s="3"/>
      <c r="E425" s="3"/>
      <c r="F425" s="20">
        <v>0</v>
      </c>
      <c r="G425" s="20">
        <v>0.8</v>
      </c>
      <c r="H425" s="20">
        <v>0</v>
      </c>
      <c r="I425" s="20">
        <v>-5195</v>
      </c>
      <c r="J425" s="20">
        <v>0</v>
      </c>
      <c r="K425" s="3"/>
      <c r="L425" s="3"/>
    </row>
    <row r="426" spans="1:12" ht="19.5" x14ac:dyDescent="0.4">
      <c r="A426" s="8" t="s">
        <v>299</v>
      </c>
      <c r="B426" s="3"/>
      <c r="C426" s="3"/>
      <c r="D426" s="3"/>
      <c r="E426" s="3"/>
      <c r="F426" s="20">
        <v>0</v>
      </c>
      <c r="G426" s="20">
        <v>0</v>
      </c>
      <c r="H426" s="20">
        <v>-5820</v>
      </c>
      <c r="I426" s="20">
        <v>0</v>
      </c>
      <c r="J426" s="20">
        <v>0</v>
      </c>
      <c r="K426" s="3"/>
      <c r="L426" s="3"/>
    </row>
    <row r="427" spans="1:12" ht="19.5" x14ac:dyDescent="0.4">
      <c r="A427" s="8" t="s">
        <v>496</v>
      </c>
      <c r="B427" s="3"/>
      <c r="C427" s="3"/>
      <c r="D427" s="3"/>
      <c r="E427" s="3"/>
      <c r="F427" s="20">
        <v>-5999</v>
      </c>
      <c r="G427" s="20">
        <v>0</v>
      </c>
      <c r="H427" s="20">
        <v>0</v>
      </c>
      <c r="I427" s="20">
        <v>0</v>
      </c>
      <c r="J427" s="20">
        <v>0</v>
      </c>
      <c r="K427" s="3"/>
      <c r="L427" s="3"/>
    </row>
    <row r="428" spans="1:12" ht="19.5" x14ac:dyDescent="0.4">
      <c r="A428" s="8" t="s">
        <v>248</v>
      </c>
      <c r="B428" s="3"/>
      <c r="C428" s="3"/>
      <c r="D428" s="3"/>
      <c r="E428" s="3"/>
      <c r="F428" s="20">
        <v>0</v>
      </c>
      <c r="G428" s="20">
        <v>-7326.36</v>
      </c>
      <c r="H428" s="20">
        <v>-0.79</v>
      </c>
      <c r="I428" s="20">
        <v>1126.67</v>
      </c>
      <c r="J428" s="20">
        <v>0</v>
      </c>
      <c r="K428" s="3"/>
      <c r="L428" s="3"/>
    </row>
    <row r="429" spans="1:12" ht="19.5" x14ac:dyDescent="0.4">
      <c r="A429" s="8" t="s">
        <v>201</v>
      </c>
      <c r="B429" s="3"/>
      <c r="C429" s="3"/>
      <c r="D429" s="3"/>
      <c r="E429" s="3"/>
      <c r="F429" s="20">
        <v>0</v>
      </c>
      <c r="G429" s="20">
        <v>-6465</v>
      </c>
      <c r="H429" s="20">
        <v>0</v>
      </c>
      <c r="I429" s="20">
        <v>0</v>
      </c>
      <c r="J429" s="20">
        <v>235</v>
      </c>
      <c r="K429" s="3"/>
      <c r="L429" s="3"/>
    </row>
    <row r="430" spans="1:12" ht="19.5" x14ac:dyDescent="0.4">
      <c r="A430" s="8" t="s">
        <v>138</v>
      </c>
      <c r="B430" s="3"/>
      <c r="C430" s="3"/>
      <c r="D430" s="3"/>
      <c r="E430" s="3"/>
      <c r="F430" s="20">
        <v>-16034</v>
      </c>
      <c r="G430" s="20">
        <v>0</v>
      </c>
      <c r="H430" s="20">
        <v>0</v>
      </c>
      <c r="I430" s="20">
        <v>0</v>
      </c>
      <c r="J430" s="20">
        <v>7800</v>
      </c>
      <c r="K430" s="3"/>
      <c r="L430" s="3"/>
    </row>
    <row r="431" spans="1:12" ht="19.5" x14ac:dyDescent="0.4">
      <c r="A431" s="8" t="s">
        <v>301</v>
      </c>
      <c r="B431" s="3"/>
      <c r="C431" s="3"/>
      <c r="D431" s="3"/>
      <c r="E431" s="3"/>
      <c r="F431" s="20">
        <v>0</v>
      </c>
      <c r="G431" s="20">
        <v>0</v>
      </c>
      <c r="H431" s="20">
        <v>-20281.689999999999</v>
      </c>
      <c r="I431" s="20">
        <v>0</v>
      </c>
      <c r="J431" s="20">
        <v>0</v>
      </c>
      <c r="K431" s="3"/>
      <c r="L431" s="3"/>
    </row>
    <row r="432" spans="1:12" ht="19.5" x14ac:dyDescent="0.4">
      <c r="A432" s="8" t="s">
        <v>497</v>
      </c>
      <c r="B432" s="3"/>
      <c r="C432" s="3"/>
      <c r="D432" s="3"/>
      <c r="E432" s="3"/>
      <c r="F432" s="20">
        <v>0</v>
      </c>
      <c r="G432" s="20">
        <v>-24922</v>
      </c>
      <c r="H432" s="20">
        <v>240</v>
      </c>
      <c r="I432" s="20">
        <v>0</v>
      </c>
      <c r="J432" s="20">
        <v>0</v>
      </c>
      <c r="K432" s="3"/>
      <c r="L432" s="3"/>
    </row>
    <row r="433" spans="1:12" ht="19.5" x14ac:dyDescent="0.4">
      <c r="A433" s="8" t="s">
        <v>341</v>
      </c>
      <c r="B433" s="3"/>
      <c r="C433" s="3"/>
      <c r="D433" s="3"/>
      <c r="E433" s="3"/>
      <c r="F433" s="20">
        <v>0</v>
      </c>
      <c r="G433" s="20">
        <v>-29581.040000000001</v>
      </c>
      <c r="H433" s="20">
        <v>0.54</v>
      </c>
      <c r="I433" s="20">
        <v>0</v>
      </c>
      <c r="J433" s="20">
        <v>0</v>
      </c>
      <c r="K433" s="3"/>
      <c r="L433" s="3"/>
    </row>
    <row r="434" spans="1:12" ht="19.5" x14ac:dyDescent="0.4">
      <c r="A434" s="8" t="s">
        <v>498</v>
      </c>
      <c r="B434" s="3"/>
      <c r="C434" s="3"/>
      <c r="D434" s="3"/>
      <c r="E434" s="3"/>
      <c r="F434" s="20">
        <v>0</v>
      </c>
      <c r="G434" s="20">
        <v>-29790.22</v>
      </c>
      <c r="H434" s="20">
        <v>0</v>
      </c>
      <c r="I434" s="20">
        <v>0</v>
      </c>
      <c r="J434" s="20">
        <v>0</v>
      </c>
      <c r="K434" s="3"/>
      <c r="L434" s="3"/>
    </row>
    <row r="435" spans="1:12" ht="19.5" x14ac:dyDescent="0.4">
      <c r="A435" s="8" t="s">
        <v>307</v>
      </c>
      <c r="B435" s="3"/>
      <c r="C435" s="3"/>
      <c r="D435" s="3"/>
      <c r="E435" s="3"/>
      <c r="F435" s="20">
        <v>173252.4</v>
      </c>
      <c r="G435" s="20">
        <v>-133051</v>
      </c>
      <c r="H435" s="20">
        <v>0</v>
      </c>
      <c r="I435" s="20">
        <v>-73998.75</v>
      </c>
      <c r="J435" s="20">
        <v>0</v>
      </c>
      <c r="K435" s="3"/>
      <c r="L435" s="3"/>
    </row>
    <row r="436" spans="1:12" ht="19.5" x14ac:dyDescent="0.4">
      <c r="A436" s="8" t="s">
        <v>304</v>
      </c>
      <c r="B436" s="3"/>
      <c r="C436" s="3"/>
      <c r="D436" s="3"/>
      <c r="E436" s="3"/>
      <c r="F436" s="20">
        <v>54480</v>
      </c>
      <c r="G436" s="20">
        <v>-96940</v>
      </c>
      <c r="H436" s="20">
        <v>-150</v>
      </c>
      <c r="I436" s="20">
        <v>0</v>
      </c>
      <c r="J436" s="20">
        <v>0</v>
      </c>
      <c r="K436" s="3"/>
      <c r="L436" s="3"/>
    </row>
    <row r="437" spans="1:12" ht="19.5" x14ac:dyDescent="0.4">
      <c r="A437" s="8" t="s">
        <v>176</v>
      </c>
      <c r="B437" s="3"/>
      <c r="C437" s="3"/>
      <c r="D437" s="3"/>
      <c r="E437" s="3"/>
      <c r="F437" s="20">
        <v>0</v>
      </c>
      <c r="G437" s="20">
        <v>-44355.95</v>
      </c>
      <c r="H437" s="20">
        <v>0</v>
      </c>
      <c r="I437" s="20">
        <v>0</v>
      </c>
      <c r="J437" s="20">
        <v>172.03</v>
      </c>
      <c r="K437" s="3"/>
      <c r="L437" s="3"/>
    </row>
    <row r="438" spans="1:12" ht="19.5" x14ac:dyDescent="0.4">
      <c r="A438" s="8" t="s">
        <v>303</v>
      </c>
      <c r="B438" s="3"/>
      <c r="C438" s="3"/>
      <c r="D438" s="3"/>
      <c r="E438" s="3"/>
      <c r="F438" s="20">
        <v>0</v>
      </c>
      <c r="G438" s="20">
        <v>-15.6</v>
      </c>
      <c r="H438" s="20">
        <v>0</v>
      </c>
      <c r="I438" s="20">
        <v>-109693.6</v>
      </c>
      <c r="J438" s="20">
        <v>0</v>
      </c>
      <c r="K438" s="3"/>
      <c r="L438" s="3"/>
    </row>
    <row r="439" spans="1:12" ht="19.5" x14ac:dyDescent="0.4">
      <c r="A439" s="8" t="s">
        <v>132</v>
      </c>
      <c r="B439" s="3"/>
      <c r="C439" s="3"/>
      <c r="D439" s="3"/>
      <c r="E439" s="3"/>
      <c r="F439" s="20">
        <v>-144150</v>
      </c>
      <c r="G439" s="20">
        <v>0</v>
      </c>
      <c r="H439" s="20">
        <v>0</v>
      </c>
      <c r="I439" s="20">
        <v>0</v>
      </c>
      <c r="J439" s="20">
        <v>0</v>
      </c>
      <c r="K439" s="3"/>
      <c r="L439" s="3"/>
    </row>
    <row r="440" spans="1:12" ht="19.5" x14ac:dyDescent="0.4">
      <c r="A440" s="8" t="s">
        <v>193</v>
      </c>
      <c r="B440" s="3"/>
      <c r="C440" s="3"/>
      <c r="D440" s="3"/>
      <c r="E440" s="3"/>
      <c r="F440" s="20">
        <v>0</v>
      </c>
      <c r="G440" s="20">
        <v>-167542</v>
      </c>
      <c r="H440" s="20">
        <v>400</v>
      </c>
      <c r="I440" s="20">
        <v>0</v>
      </c>
      <c r="J440" s="20">
        <v>142</v>
      </c>
      <c r="K440" s="3"/>
      <c r="L440" s="3"/>
    </row>
    <row r="441" spans="1:12" ht="19.5" x14ac:dyDescent="0.4">
      <c r="A441" s="8" t="s">
        <v>53</v>
      </c>
      <c r="B441" s="3"/>
      <c r="C441" s="3"/>
      <c r="D441" s="3"/>
      <c r="E441" s="3"/>
      <c r="F441" s="21">
        <v>609189.67000000004</v>
      </c>
      <c r="G441" s="21">
        <v>-747568.8</v>
      </c>
      <c r="H441" s="21">
        <v>-250630.49</v>
      </c>
      <c r="I441" s="21">
        <v>31474.17</v>
      </c>
      <c r="J441" s="21">
        <v>644.66999999999996</v>
      </c>
      <c r="K441" s="3"/>
      <c r="L441" s="3"/>
    </row>
  </sheetData>
  <autoFilter ref="A4:L233" xr:uid="{00000000-0001-0000-0000-000000000000}">
    <sortState xmlns:xlrd2="http://schemas.microsoft.com/office/spreadsheetml/2017/richdata2" ref="A6:L273">
      <sortCondition descending="1" ref="L4:L233"/>
    </sortState>
  </autoFilter>
  <mergeCells count="6">
    <mergeCell ref="A1:L1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28-08</vt:lpstr>
      <vt:lpstr>02-09</vt:lpstr>
      <vt:lpstr>09-09</vt:lpstr>
      <vt:lpstr>16-09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2026-09-03T14:14:57Z</dcterms:created>
  <dcterms:modified xsi:type="dcterms:W3CDTF">2026-09-16T19:53:36Z</dcterms:modified>
</cp:coreProperties>
</file>